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egend" sheetId="1" state="visible" r:id="rId3"/>
    <sheet name="легенда (укр)" sheetId="2" state="visible" r:id="rId4"/>
    <sheet name="country_profile" sheetId="3" state="visible" r:id="rId5"/>
    <sheet name="variant_A_vs_B" sheetId="4" state="visible" r:id="rId6"/>
  </sheets>
  <definedNames>
    <definedName function="false" hidden="true" localSheetId="2" name="_xlnm._FilterDatabase" vbProcedure="false">country_profile!$A$1:$BA$161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<sst xmlns="http://schemas.openxmlformats.org/spreadsheetml/2006/main" count="2205" uniqueCount="808">
  <si>
    <t xml:space="preserve">War participation variables: codebook</t>
  </si>
  <si>
    <t xml:space="preserve">Unit of observation: state. Temporal scope 1946-2024. 160 states, of which 121 were a primary party to at least one armed conflict.</t>
  </si>
  <si>
    <t xml:space="preserve">1. CODING OF MISSING, ZERO AND OUT-OF-COVERAGE VALUES</t>
  </si>
  <si>
    <t xml:space="preserve">Code</t>
  </si>
  <si>
    <t xml:space="preserve">Meaning</t>
  </si>
  <si>
    <t xml:space="preserve">When it applies</t>
  </si>
  <si>
    <t xml:space="preserve">0</t>
  </si>
  <si>
    <t xml:space="preserve">structural zero</t>
  </si>
  <si>
    <t xml:space="preserve">The quantity is defined and equals zero. A state never a primary party has zero conflicts, zero years of participation and zero on every variable derived from them.</t>
  </si>
  <si>
    <t xml:space="preserve">n/a</t>
  </si>
  <si>
    <t xml:space="preserve">not applicable</t>
  </si>
  <si>
    <t xml:space="preserve">The quantity is undefined for this case: peak strength during conflict years where there are no conflict years; defensive_purity on a zero denominator; battle deaths for a state whose participation lies wholly beyond the source window.</t>
  </si>
  <si>
    <t xml:space="preserve">(blank)</t>
  </si>
  <si>
    <t xml:space="preserve">data not available</t>
  </si>
  <si>
    <t xml:space="preserve">The quantity exists but was not obtained — e.g. conscription term where the source text contains no figure.</t>
  </si>
  <si>
    <t xml:space="preserve">coverage_* columns</t>
  </si>
  <si>
    <t xml:space="preserve">end of source coverage</t>
  </si>
  <si>
    <t xml:space="preserve">Every variable is reported together with the last year the underlying source covers for that state. Where a source ends before the state's participation does, the main column carries the last actual value and the coverage column carries the year of that last record.</t>
  </si>
  <si>
    <t xml:space="preserve">2. VARIABLE CATEGORIES</t>
  </si>
  <si>
    <t xml:space="preserve">Category</t>
  </si>
  <si>
    <t xml:space="preserve">Scope</t>
  </si>
  <si>
    <t xml:space="preserve">Variables</t>
  </si>
  <si>
    <t xml:space="preserve">Identification</t>
  </si>
  <si>
    <t xml:space="preserve">State identifiers and role class</t>
  </si>
  <si>
    <t xml:space="preserve">country, country_gw_list, gw_code, cow_code, role_class</t>
  </si>
  <si>
    <t xml:space="preserve">A. Scale of involvement</t>
  </si>
  <si>
    <t xml:space="preserve">Size of the military effort and its share of population</t>
  </si>
  <si>
    <t xml:space="preserve">peak_mil_personnel_k, peak_mil_personnel_basis, peak_mil_year, peak_mil_population_k, peak_mil_personnel_pct_pop, mil_personnel_latest_k, mil_personnel_latest_year, mil_personnel_latest_population_k, mil_personnel_pct_pop_latest, active_personnel_k_wfb</t>
  </si>
  <si>
    <t xml:space="preserve">B. Intensity</t>
  </si>
  <si>
    <t xml:space="preserve">Human cost of participation</t>
  </si>
  <si>
    <t xml:space="preserve">battle_deaths_cow, battle_deaths_last_year</t>
  </si>
  <si>
    <t xml:space="preserve">C. Duration and temporal structure</t>
  </si>
  <si>
    <t xml:space="preserve">Accumulation of experience over time</t>
  </si>
  <si>
    <t xml:space="preserve">conflicts_primary, years_primary, years_war_level, years_minor_level, longest_spell, first_year_primary, last_year_primary, years_since_last_primary</t>
  </si>
  <si>
    <t xml:space="preserve">D. Type and locus of conflict</t>
  </si>
  <si>
    <t xml:space="preserve">What kind of war, fought where, against whom</t>
  </si>
  <si>
    <t xml:space="preserve">years_interstate_ucdp, years_interstate_alt, years_intl_intrastate_ucdp, years_intrastate, years_extrasystemic, years_home_defensive, years_home_civil, years_home_total, years_home_overlap, years_abroad, defensive_purity</t>
  </si>
  <si>
    <t xml:space="preserve">E. Manning model</t>
  </si>
  <si>
    <t xml:space="preserve">How the force is raised — the conversion factor from force size to veteran cohort</t>
  </si>
  <si>
    <t xml:space="preserve">manning_model, conscription_term_months, mil_expenditure_pct_gdp</t>
  </si>
  <si>
    <t xml:space="preserve">F. Supporting role</t>
  </si>
  <si>
    <t xml:space="preserve">Participation that does not generate a veteran cohort</t>
  </si>
  <si>
    <t xml:space="preserve">conflicts_support, years_support, first_year_support, last_year_support, years_war_level_support</t>
  </si>
  <si>
    <t xml:space="preserve">G. Source coverage</t>
  </si>
  <si>
    <t xml:space="preserve">Last year each source covers for this state</t>
  </si>
  <si>
    <t xml:space="preserve">coverage_conflict_to, coverage_personnel_to, coverage_battle_deaths_to, coverage_manning_to</t>
  </si>
  <si>
    <t xml:space="preserve">3. VARIABLES, VALUES AND SOURCES</t>
  </si>
  <si>
    <t xml:space="preserve">Variable</t>
  </si>
  <si>
    <t xml:space="preserve">Definition</t>
  </si>
  <si>
    <t xml:space="preserve">Values / units</t>
  </si>
  <si>
    <t xml:space="preserve">Source</t>
  </si>
  <si>
    <t xml:space="preserve">country</t>
  </si>
  <si>
    <t xml:space="preserve">Normalised English name used for display</t>
  </si>
  <si>
    <t xml:space="preserve">text</t>
  </si>
  <si>
    <t xml:space="preserve">author</t>
  </si>
  <si>
    <t xml:space="preserve">country_gw_list</t>
  </si>
  <si>
    <t xml:space="preserve">Name as given in the Gleditsch-Ward state list</t>
  </si>
  <si>
    <t xml:space="preserve">Gleditsch &amp; Ward (1999)</t>
  </si>
  <si>
    <t xml:space="preserve">gw_code</t>
  </si>
  <si>
    <t xml:space="preserve">Gleditsch-Ward state code; join key for conflict data</t>
  </si>
  <si>
    <t xml:space="preserve">integer</t>
  </si>
  <si>
    <t xml:space="preserve">cow_code</t>
  </si>
  <si>
    <t xml:space="preserve">Correlates of War state code; join key for capability data</t>
  </si>
  <si>
    <t xml:space="preserve">COW state system membership</t>
  </si>
  <si>
    <t xml:space="preserve">role_class</t>
  </si>
  <si>
    <t xml:space="preserve">Highest role held in any conflict 1946-2024</t>
  </si>
  <si>
    <t xml:space="preserve">{primary party; supporting party only}</t>
  </si>
  <si>
    <t xml:space="preserve">UCDP/PRIO ACD</t>
  </si>
  <si>
    <t xml:space="preserve">peak_mil_personnel_k</t>
  </si>
  <si>
    <t xml:space="preserve">Peak military personnel, thousands</t>
  </si>
  <si>
    <t xml:space="preserve">numeric</t>
  </si>
  <si>
    <t xml:space="preserve">COW NMC v6.0</t>
  </si>
  <si>
    <t xml:space="preserve">peak_mil_personnel_basis</t>
  </si>
  <si>
    <t xml:space="preserve">Which peak the preceding column reports; values are NOT comparable across bases</t>
  </si>
  <si>
    <t xml:space="preserve">{peak during conflict years; peak 1946-2022}</t>
  </si>
  <si>
    <t xml:space="preserve">peak_mil_year</t>
  </si>
  <si>
    <t xml:space="preserve">Calendar year in which that peak was recorded</t>
  </si>
  <si>
    <t xml:space="preserve">year</t>
  </si>
  <si>
    <t xml:space="preserve">peak_mil_population_k</t>
  </si>
  <si>
    <t xml:space="preserve">Total population in the peak year, thousands</t>
  </si>
  <si>
    <t xml:space="preserve">peak_mil_personnel_pct_pop</t>
  </si>
  <si>
    <t xml:space="preserve">peak_mil_personnel_k / peak_mil_population_k x 100</t>
  </si>
  <si>
    <t xml:space="preserve">per cent, formula</t>
  </si>
  <si>
    <t xml:space="preserve">derived</t>
  </si>
  <si>
    <t xml:space="preserve">mil_personnel_latest_k</t>
  </si>
  <si>
    <t xml:space="preserve">Most recent military personnel observation, thousands</t>
  </si>
  <si>
    <t xml:space="preserve">mil_personnel_latest_year</t>
  </si>
  <si>
    <t xml:space="preserve">Year of that observation; source ends 2022</t>
  </si>
  <si>
    <t xml:space="preserve">mil_personnel_latest_population_k</t>
  </si>
  <si>
    <t xml:space="preserve">Total population in that same year, thousands</t>
  </si>
  <si>
    <t xml:space="preserve">mil_personnel_pct_pop_latest</t>
  </si>
  <si>
    <t xml:space="preserve">mil_personnel_latest_k / mil_personnel_latest_population_k x 100</t>
  </si>
  <si>
    <t xml:space="preserve">active_personnel_k_wfb</t>
  </si>
  <si>
    <t xml:space="preserve">Active personnel, thousands, 2024-2025 estimate; the source definition is closer to "defence forces" than to "armed forces"</t>
  </si>
  <si>
    <t xml:space="preserve">CIA World Factbook 2025</t>
  </si>
  <si>
    <t xml:space="preserve">battle_deaths_cow</t>
  </si>
  <si>
    <t xml:space="preserve">Battle deaths in inter-state wars. n/a where the state's participation lies wholly beyond 2003; 0 where the state took part in no inter-state war within the window</t>
  </si>
  <si>
    <t xml:space="preserve">integer or n/a</t>
  </si>
  <si>
    <t xml:space="preserve">COW Inter-State War v4</t>
  </si>
  <si>
    <t xml:space="preserve">battle_deaths_last_year</t>
  </si>
  <si>
    <t xml:space="preserve">Last year of inter-state war participation recorded in the source</t>
  </si>
  <si>
    <t xml:space="preserve">conflicts_primary</t>
  </si>
  <si>
    <t xml:space="preserve">Number of distinct conflicts entered as a primary party</t>
  </si>
  <si>
    <t xml:space="preserve">years_primary</t>
  </si>
  <si>
    <t xml:space="preserve">Number of distinct calendar years as a primary party</t>
  </si>
  <si>
    <t xml:space="preserve">years_war_level</t>
  </si>
  <si>
    <t xml:space="preserve">Years in which a conflict the state was party to reached war level (&gt;=1,000 battle deaths per year). Intensity refers to the conflict, not to this state. NOT mutually exclusive with years_minor_level: a state may be party to conflicts of different intensity in the same year, so the two columns can sum to more than years_primary</t>
  </si>
  <si>
    <t xml:space="preserve">years_minor_level</t>
  </si>
  <si>
    <t xml:space="preserve">Years at minor-conflict level (25-999 battle deaths per year)</t>
  </si>
  <si>
    <t xml:space="preserve">longest_spell</t>
  </si>
  <si>
    <t xml:space="preserve">Longest unbroken run of consecutive years as a primary party</t>
  </si>
  <si>
    <t xml:space="preserve">first_year_primary</t>
  </si>
  <si>
    <t xml:space="preserve">First year as a primary party</t>
  </si>
  <si>
    <t xml:space="preserve">last_year_primary</t>
  </si>
  <si>
    <t xml:space="preserve">Last year as a primary party</t>
  </si>
  <si>
    <t xml:space="preserve">years_since_last_primary</t>
  </si>
  <si>
    <t xml:space="preserve">Years elapsed since last_year_primary, as of 2024</t>
  </si>
  <si>
    <t xml:space="preserve">years_interstate_ucdp</t>
  </si>
  <si>
    <t xml:space="preserve">Years of interstate conflict, UCDP coding unchanged (variant A)</t>
  </si>
  <si>
    <t xml:space="preserve">years_interstate_alt</t>
  </si>
  <si>
    <t xml:space="preserve">Variant B: the Russo-Ukrainian conflict 2014-2021 reclassified from internationalised intrastate to interstate, applied symmetrically to both parties. Differs from variant A for Ukraine (3 to 11) and Russia (6 to 14) only; no other conflict is recoded</t>
  </si>
  <si>
    <t xml:space="preserve">author recoding</t>
  </si>
  <si>
    <t xml:space="preserve">years_intl_intrastate_ucdp</t>
  </si>
  <si>
    <t xml:space="preserve">Years of internationalised intrastate conflict under variant A. For Ukraine this is the nine years that variant B reclassifies</t>
  </si>
  <si>
    <t xml:space="preserve">years_intrastate</t>
  </si>
  <si>
    <t xml:space="preserve">Years of purely intrastate conflict, excluding internationalised intrastate</t>
  </si>
  <si>
    <t xml:space="preserve">years_extrasystemic</t>
  </si>
  <si>
    <t xml:space="preserve">Years of extrasystemic (colonial) conflict</t>
  </si>
  <si>
    <t xml:space="preserve">years_home_defensive</t>
  </si>
  <si>
    <t xml:space="preserve">Years of fighting on own territory against an external adversary. For interstate conflicts the source field gwno_loc lists every belligerent rather than the theatre, so locus was coded manually</t>
  </si>
  <si>
    <t xml:space="preserve">UCDP/PRIO ACD + manual locus coding</t>
  </si>
  <si>
    <t xml:space="preserve">years_home_civil</t>
  </si>
  <si>
    <t xml:space="preserve">Years of fighting on own territory against an internal adversary, derived from gwno_loc in the full UCDP/PRIO ACD. Note that gwno_loc identifies the state whose government is party to the conflict, not the theatre of operations; conflict 418 (United States - al-Qaida) is therefore overridden manually</t>
  </si>
  <si>
    <t xml:space="preserve">UCDP/PRIO ACD v19.1 (gwno_loc)</t>
  </si>
  <si>
    <t xml:space="preserve">years_home_total</t>
  </si>
  <si>
    <t xml:space="preserve">Distinct years with fighting on own territory of either kind. Never exceeds years_primary; components may overlap within a year</t>
  </si>
  <si>
    <t xml:space="preserve">years_home_overlap</t>
  </si>
  <si>
    <t xml:space="preserve">Years counted in both home categories at once</t>
  </si>
  <si>
    <t xml:space="preserve">years_abroad</t>
  </si>
  <si>
    <t xml:space="preserve">Years of fighting outside own territory</t>
  </si>
  <si>
    <t xml:space="preserve">UCDP/PRIO ACD v19.1 (gwno_loc) + manual locus coding</t>
  </si>
  <si>
    <t xml:space="preserve">y_locus_unknown</t>
  </si>
  <si>
    <t xml:space="preserve">Years for which the locus of fighting could not be established: conflicts beginning after 2018 and so absent from ACD v19.1, and three uncoded interstate pairs</t>
  </si>
  <si>
    <t xml:space="preserve">locus_basis</t>
  </si>
  <si>
    <t xml:space="preserve">How locus was established for this state, across all its conflicts</t>
  </si>
  <si>
    <t xml:space="preserve">defensive_purity</t>
  </si>
  <si>
    <t xml:space="preserve">years_home_defensive / years_primary</t>
  </si>
  <si>
    <t xml:space="preserve">0.00-1.00, formula</t>
  </si>
  <si>
    <t xml:space="preserve">manning_model</t>
  </si>
  <si>
    <t xml:space="preserve">Manning model in force at the latest observation</t>
  </si>
  <si>
    <t xml:space="preserve">{conscription; voluntary}</t>
  </si>
  <si>
    <t xml:space="preserve">service_obligation_months_auto</t>
  </si>
  <si>
    <t xml:space="preserve">Length in months of a service obligation mentioned in the source text, extracted automatically. The source field does not distinguish a conscript term from an initial contract obligation, a reserve obligation or a registration duty, so this variable is NOT a conscription term and must not be used as one. Retained as raw extraction; use conscription_term_months_manual instead</t>
  </si>
  <si>
    <t xml:space="preserve">numeric, unverified</t>
  </si>
  <si>
    <t xml:space="preserve">mil_expenditure_pct_gdp</t>
  </si>
  <si>
    <t xml:space="preserve">Military expenditure as a share of GDP, latest available year</t>
  </si>
  <si>
    <t xml:space="preserve">conscription_term_months_manual</t>
  </si>
  <si>
    <t xml:space="preserve">Length of the compulsory service obligation, months, to be entered manually after checking manning_source_text. Empty by design</t>
  </si>
  <si>
    <t xml:space="preserve">manual coding</t>
  </si>
  <si>
    <t xml:space="preserve">manning_source_text</t>
  </si>
  <si>
    <t xml:space="preserve">Verbatim text of the source field on military service age and obligation, for verification of manning_model and of the two term columns</t>
  </si>
  <si>
    <t xml:space="preserve">state_continuity</t>
  </si>
  <si>
    <t xml:space="preserve">Note on rows that are not contemporary nation-states or whose series spans a change of state. Rows so marked are not directly comparable with the rest</t>
  </si>
  <si>
    <t xml:space="preserve">verify_flag</t>
  </si>
  <si>
    <t xml:space="preserve">Automatic flags marking values that require verification against the source rather than deletion</t>
  </si>
  <si>
    <t xml:space="preserve">conflicts_support</t>
  </si>
  <si>
    <t xml:space="preserve">Distinct conflicts entered as a secondary supporting party</t>
  </si>
  <si>
    <t xml:space="preserve">years_support</t>
  </si>
  <si>
    <t xml:space="preserve">Distinct calendar years in a supporting role</t>
  </si>
  <si>
    <t xml:space="preserve">first_year_support</t>
  </si>
  <si>
    <t xml:space="preserve">First year in a supporting role</t>
  </si>
  <si>
    <t xml:space="preserve">last_year_support</t>
  </si>
  <si>
    <t xml:space="preserve">Last year in a supporting role</t>
  </si>
  <si>
    <t xml:space="preserve">years_war_level_support</t>
  </si>
  <si>
    <t xml:space="preserve">Years in a supporting role where the conflict was at war level</t>
  </si>
  <si>
    <t xml:space="preserve">coverage_conflict_to</t>
  </si>
  <si>
    <t xml:space="preserve">Last year covered by the conflict data</t>
  </si>
  <si>
    <t xml:space="preserve">2024 for all states</t>
  </si>
  <si>
    <t xml:space="preserve">coverage_personnel_to</t>
  </si>
  <si>
    <t xml:space="preserve">Last year with a personnel observation for this state</t>
  </si>
  <si>
    <t xml:space="preserve">year, source ends 2022</t>
  </si>
  <si>
    <t xml:space="preserve">coverage_battle_deaths_to</t>
  </si>
  <si>
    <t xml:space="preserve">Last year covered by the battle-deaths source. Constant at 2003 for every state; the year of a state's own last recorded war is battle_deaths_last_year, a different quantity</t>
  </si>
  <si>
    <t xml:space="preserve">2003 for all states</t>
  </si>
  <si>
    <t xml:space="preserve">coverage_manning_to</t>
  </si>
  <si>
    <t xml:space="preserve">Year of the manning and strength estimate</t>
  </si>
  <si>
    <t xml:space="preserve">4. DATA SOURCES</t>
  </si>
  <si>
    <t xml:space="preserve">Version and coverage</t>
  </si>
  <si>
    <t xml:space="preserve">Used for</t>
  </si>
  <si>
    <t xml:space="preserve">UCDP/PRIO Armed Conflict Dataset</t>
  </si>
  <si>
    <t xml:space="preserve">1946-2024; 303 conflicts, 5,652 conflict-years</t>
  </si>
  <si>
    <t xml:space="preserve">Conflict participation, role, type, incompatibility, intensity</t>
  </si>
  <si>
    <t xml:space="preserve">Gleditsch, N. P., Wallensteen, P., Eriksson, M., Sollenberg, M., &amp; Strand, H. (2002). Armed conflict 1946-2001: A new dataset. Journal of Peace Research, 39(5), 615-637.</t>
  </si>
  <si>
    <t xml:space="preserve">Correlates of War National Material Capabilities</t>
  </si>
  <si>
    <t xml:space="preserve">v6.0; 1816-2022; 217 states; 17,121 state-years</t>
  </si>
  <si>
    <t xml:space="preserve">Military personnel, military expenditure, population</t>
  </si>
  <si>
    <t xml:space="preserve">Singer, J. D. (1987). Reconstructing the Correlates of War dataset on material capabilities of states, 1816-1985. International Interactions, 14(2), 115-132.</t>
  </si>
  <si>
    <t xml:space="preserve">Correlates of War Inter-State War Data</t>
  </si>
  <si>
    <t xml:space="preserve">v4; to 2003</t>
  </si>
  <si>
    <t xml:space="preserve">Battle deaths per participant</t>
  </si>
  <si>
    <t xml:space="preserve">Sarkees, M. R., &amp; Wayman, F. W. (2010). Resort to war: A data guide to inter-state, extra-state, intra-state, and non-state wars, 1816-2007. CQ Press.</t>
  </si>
  <si>
    <t xml:space="preserve">Correlates of War Intra-State War Data</t>
  </si>
  <si>
    <t xml:space="preserve">v4.1; to 2008</t>
  </si>
  <si>
    <t xml:space="preserve">Cross-check of intrastate conflict coding</t>
  </si>
  <si>
    <t xml:space="preserve">CIA World Factbook</t>
  </si>
  <si>
    <t xml:space="preserve">2025 edition; public domain</t>
  </si>
  <si>
    <t xml:space="preserve">Manning model, conscription term, active personnel, military expenditure</t>
  </si>
  <si>
    <t xml:space="preserve">Gleditsch-Ward state list / COW state system membership</t>
  </si>
  <si>
    <t xml:space="preserve">GW 1999 revision; COW v2016</t>
  </si>
  <si>
    <t xml:space="preserve">State codes and the resolution of code divergences between the two systems</t>
  </si>
  <si>
    <t xml:space="preserve">peacesciencer (Miller, 2022)</t>
  </si>
  <si>
    <t xml:space="preserve">R package, distribution channel</t>
  </si>
  <si>
    <t xml:space="preserve">Standardised delivery of the three datasets above; values spot-checked against the primary sources</t>
  </si>
  <si>
    <t xml:space="preserve">5. CASE NOTES</t>
  </si>
  <si>
    <t xml:space="preserve">Ukraine, conflict 13219 (2014, intrastate, incompatibility: government) is retained in years_home_civil. It is distinct from the Donbas conflicts and is not part of the Russo-Ukrainian war; it accounts for the single year in that column and for the one-year overlap with years_home_defensive.</t>
  </si>
  <si>
    <t xml:space="preserve">Israel: years_home_civil is inflated. UCDP codes the Palestinian conflicts as intrastate, which is not civil war against own citizens in the ordinary sense.</t>
  </si>
  <si>
    <t xml:space="preserve">Armenia (5,500), Canada (309), Belgium (97) and the United Arab Emirates (6) carry non-zero battle deaths in COW while never appearing as a primary party in UCDP. Canada and Belgium follow from UN coalition members in Korea being coded as supporting parties; Armenia follows from Nagorno-Karabakh being coded as an intrastate conflict of Azerbaijan — the same logic applied to the Russo-Ukrainian conflict of 2014-2021.</t>
  </si>
  <si>
    <t xml:space="preserve">6. KNOWN LIMITATIONS</t>
  </si>
  <si>
    <t xml:space="preserve">Coverage ends at different points by source. Every state carries its own coverage_* columns; values in the main columns are the last actual records within each window and must not be read as current.</t>
  </si>
  <si>
    <t xml:space="preserve">intensity_level in UCDP refers to the conflict as a whole, not to an individual participant.</t>
  </si>
  <si>
    <t xml:space="preserve">Locus of fighting in interstate conflicts was coded manually for all 114 state-conflict pairs; three pairs remain uncoded. The coding is the author's and requires independent verification.</t>
  </si>
  <si>
    <t xml:space="preserve">conscription_term_months was parsed automatically from free text; several values are unreliable (Eritrea, Chad, Egypt among them) and every figure requires verification against the source text.</t>
  </si>
  <si>
    <t xml:space="preserve">The dataset supports description only. No causal inference is drawn and no statistical hypotheses are tested.</t>
  </si>
  <si>
    <t xml:space="preserve">Full UCDP/PRIO ACD v19.1 (1946-2018, 28 fields) was used for the location field gwno_loc, which the peacesciencer distribution omits. The 1946-2024 series in every other column comes from the peacesciencer distribution (15 fields).</t>
  </si>
  <si>
    <t xml:space="preserve">Кодування змінних досвіду участі держав у війнах</t>
  </si>
  <si>
    <t xml:space="preserve">Одиниця спостереження — держава. Часові межі 1946–2024 рр. 160 держав, з них 121 була основною стороною щонайменше одного збройного конфлікту. Переклад англомовної легенди; за розбіжностей чинною є англомовна версія.</t>
  </si>
  <si>
    <t xml:space="preserve">1. КОДУВАННЯ ВІДСУТНІХ, НУЛЬОВИХ ЗНАЧЕНТ ТА ЗНАЧЕНЬ ЗА МЕЖАМИ ПОКРИТТЯ ДЖЕРЕЛ</t>
  </si>
  <si>
    <t xml:space="preserve">Код</t>
  </si>
  <si>
    <t xml:space="preserve">Значення</t>
  </si>
  <si>
    <t xml:space="preserve">Коли застосовується</t>
  </si>
  <si>
    <t xml:space="preserve">структурний нуль</t>
  </si>
  <si>
    <t xml:space="preserve">Величина визначена й дорівнює нулю. Держава, що ніколи не була основною стороною конфлікту, має нуль конфліктів, нуль років участі та нуль за кожним похідним показником — за визначенням, а не через відсутність даних.</t>
  </si>
  <si>
    <t xml:space="preserve">не застосовується</t>
  </si>
  <si>
    <t xml:space="preserve">Величина не визначена для цього випадку: пікова чисельність у роки конфлікту за відсутності таких років; defensive_purity при нульовому знаменнику; бойові втрати для держави, участь якої припадає повністю на період після завершення покриття джерела.</t>
  </si>
  <si>
    <t xml:space="preserve">(порожньо)</t>
  </si>
  <si>
    <t xml:space="preserve">дані відсутні</t>
  </si>
  <si>
    <t xml:space="preserve">Величина існує, але не отримана — наприклад, термін строкової служби там, де текст першоджерела не містить числа.</t>
  </si>
  <si>
    <t xml:space="preserve">стовпці coverage_*</t>
  </si>
  <si>
    <t xml:space="preserve">межа покриття джерела</t>
  </si>
  <si>
    <t xml:space="preserve">Кожна змінна супроводжується роком, до якого відповідне джерело покриває цю державу. Якщо джерело завершується раніше, ніж участь держави, основний стовпець містить останнє фактичне значення, а стовпець покриття — рік цього останнього запису.</t>
  </si>
  <si>
    <t xml:space="preserve">2. КАТЕГОРІЇ ЗМІННИХ</t>
  </si>
  <si>
    <t xml:space="preserve">Категорія</t>
  </si>
  <si>
    <t xml:space="preserve">Охоплення</t>
  </si>
  <si>
    <t xml:space="preserve">Змінні</t>
  </si>
  <si>
    <t xml:space="preserve">Ідентифікація</t>
  </si>
  <si>
    <t xml:space="preserve">Ідентифікатори держави та клас ролі</t>
  </si>
  <si>
    <t xml:space="preserve">A. Обсяг залучення</t>
  </si>
  <si>
    <t xml:space="preserve">Масштаб воєнного зусилля та його частка від населення</t>
  </si>
  <si>
    <t xml:space="preserve">B. Інтенсивність</t>
  </si>
  <si>
    <t xml:space="preserve">Людська ціна участі</t>
  </si>
  <si>
    <t xml:space="preserve">C. Тривалість і темпоральна структура</t>
  </si>
  <si>
    <t xml:space="preserve">Накопичення досвіду в часі</t>
  </si>
  <si>
    <t xml:space="preserve">D. Тип і локус конфлікту</t>
  </si>
  <si>
    <t xml:space="preserve">Яка війна, де велася, проти кого</t>
  </si>
  <si>
    <t xml:space="preserve">E. Модель комплектування</t>
  </si>
  <si>
    <t xml:space="preserve">Спосіб набору війська — коефіцієнт переходу від чисельності сил до ветеранської когорти</t>
  </si>
  <si>
    <t xml:space="preserve">F. Роль підтримки</t>
  </si>
  <si>
    <t xml:space="preserve">Участь, що не породжує ветеранської когорти</t>
  </si>
  <si>
    <t xml:space="preserve">G. Покриття джерел</t>
  </si>
  <si>
    <t xml:space="preserve">Останній рік, який кожне джерело покриває для цієї держави</t>
  </si>
  <si>
    <t xml:space="preserve">3. ЗМІННІ, ЗНАЧЕННЯ ТА ДЖЕРЕЛА</t>
  </si>
  <si>
    <t xml:space="preserve">Змінна</t>
  </si>
  <si>
    <t xml:space="preserve">Визначення</t>
  </si>
  <si>
    <t xml:space="preserve">Значення / одиниці</t>
  </si>
  <si>
    <t xml:space="preserve">Джерело</t>
  </si>
  <si>
    <t xml:space="preserve">Нормалізована англомовна назва для відображення</t>
  </si>
  <si>
    <t xml:space="preserve">текст</t>
  </si>
  <si>
    <t xml:space="preserve">автор</t>
  </si>
  <si>
    <t xml:space="preserve">Назва за переліком держав Ґледіча-Ворда</t>
  </si>
  <si>
    <t xml:space="preserve">Код держави за Ґледічем-Вордом; ключ об’єднання з даними про конфлікти</t>
  </si>
  <si>
    <t xml:space="preserve">ціле</t>
  </si>
  <si>
    <t xml:space="preserve">Код держави за Correlates of War; ключ об’єднання з даними про можливості</t>
  </si>
  <si>
    <t xml:space="preserve">Найвища роль, яку держава мала в будь-якому конфлікті 1946–2024 рр.</t>
  </si>
  <si>
    <t xml:space="preserve">{primary party — основна сторона; supporting party only — лише підтримка}</t>
  </si>
  <si>
    <t xml:space="preserve">Пікова чисельність збройних сил, тис. осіб</t>
  </si>
  <si>
    <t xml:space="preserve">числове</t>
  </si>
  <si>
    <t xml:space="preserve">Яку саме пікову величину подає попередній стовпець; значення НЕ зіставні між основами</t>
  </si>
  <si>
    <t xml:space="preserve">{peak during conflict years — пік у роки конфлікту; peak 1946-2022 — пік за весь період}</t>
  </si>
  <si>
    <t xml:space="preserve">Календарний рік, у якому зафіксовано цей пік</t>
  </si>
  <si>
    <t xml:space="preserve">рік</t>
  </si>
  <si>
    <t xml:space="preserve">Загальне населення в рік піку, тис. осіб</t>
  </si>
  <si>
    <t xml:space="preserve">peak_mil_personnel_k / peak_mil_population_k × 100</t>
  </si>
  <si>
    <t xml:space="preserve">відсотки, формула</t>
  </si>
  <si>
    <t xml:space="preserve">розрахунок</t>
  </si>
  <si>
    <t xml:space="preserve">Останнє наявне спостереження чисельності, тис. осіб</t>
  </si>
  <si>
    <t xml:space="preserve">Рік цього спостереження; джерело завершується 2022 р.</t>
  </si>
  <si>
    <t xml:space="preserve">Загальне населення того самого року, тис. осіб</t>
  </si>
  <si>
    <t xml:space="preserve">mil_personnel_latest_k / mil_personnel_latest_population_k × 100</t>
  </si>
  <si>
    <t xml:space="preserve">Активний особовий склад, тис. осіб, оцінка 2024–2025 рр.; означення в джерелі ближче до «сил оборони», ніж до «збройних сил»</t>
  </si>
  <si>
    <t xml:space="preserve">Бойові втрати в міждержавних війнах. n/a, якщо участь держави припадає повністю на період після 2003 р.; 0, якщо держава не брала участі в жодній міждержавній війні в межах вікна</t>
  </si>
  <si>
    <t xml:space="preserve">ціле або n/a</t>
  </si>
  <si>
    <t xml:space="preserve">Останній рік участі в міждержавній війні за джерелом</t>
  </si>
  <si>
    <t xml:space="preserve">Кількість окремих конфліктів, у які держава вступила як основна сторона</t>
  </si>
  <si>
    <t xml:space="preserve">Кількість окремих календарних років у ролі основної сторони</t>
  </si>
  <si>
    <t xml:space="preserve">Роки, коли конфлікт за участю держави досягав рівня війни (≥1 000 бойових смертей на рік). Інтенсивність стосується конфлікту, а не держави. НЕ є взаємовиключним із years_minor_level: держава може бути стороною конфліктів різної інтенсивності в тому самому році, тож сума двох стовпців може перевищувати years_primary</t>
  </si>
  <si>
    <t xml:space="preserve">Роки на рівні малого конфлікту (25–999 бойових смертей на рік)</t>
  </si>
  <si>
    <t xml:space="preserve">Найдовший безперервний період послідовних років у ролі основної сторони</t>
  </si>
  <si>
    <t xml:space="preserve">Перший рік у ролі основної сторони</t>
  </si>
  <si>
    <t xml:space="preserve">Останній рік у ролі основної сторони</t>
  </si>
  <si>
    <t xml:space="preserve">Років, що минуло від last_year_primary, станом на 2024 р.</t>
  </si>
  <si>
    <t xml:space="preserve">Роки міждержавного конфлікту, кодування UCDP без змін (варіант A)</t>
  </si>
  <si>
    <t xml:space="preserve">Варіант B: російсько-український конфлікт 2014–2021 рр. перекласифіковано з інтернаціоналізованого внутрішнього на міждержавний, симетрично для обох сторін. Відрізняється від варіанта A лише для України (з 3 до 11) та Росії (з 6 до 14); жоден інший конфлікт не перекодовано</t>
  </si>
  <si>
    <t xml:space="preserve">авторське перекодування</t>
  </si>
  <si>
    <t xml:space="preserve">Роки інтернаціоналізованого внутрішнього конфлікту за варіантом A. Для України це ті дев’ять років, які варіант B перекласифіковує</t>
  </si>
  <si>
    <t xml:space="preserve">Роки суто внутрішнього конфлікту, без інтернаціоналізованих</t>
  </si>
  <si>
    <t xml:space="preserve">Роки позасистемного (колоніального) конфлікту</t>
  </si>
  <si>
    <t xml:space="preserve">Роки бойових дій на власній території проти зовнішнього противника. Для міждержавних конфліктів поле gwno_loc першоджерела перелічує всіх воюючих, а не театр бойових дій, тож локус закодовано вручну</t>
  </si>
  <si>
    <t xml:space="preserve">UCDP/PRIO ACD + ручне кодування локусу</t>
  </si>
  <si>
    <t xml:space="preserve">Роки бойових дій на власній території проти внутрішнього противника, виведені з поля gwno_loc повної версії UCDP/PRIO ACD. Зауважте: gwno_loc позначає державу, чий уряд є стороною конфлікту, а не театр бойових дій; тому конфлікт 418 (США — «Аль-Каїда») перевизначено вручну</t>
  </si>
  <si>
    <t xml:space="preserve">Окремі роки з бойовими діями на власній території будь-якого з двох видів. Ніколи не перевищує years_primary; складові можуть перекриватися в межах року</t>
  </si>
  <si>
    <t xml:space="preserve">Роки, зараховані одночасно до обох категорій бойових дій удома</t>
  </si>
  <si>
    <t xml:space="preserve">Роки бойових дій за межами власної території</t>
  </si>
  <si>
    <t xml:space="preserve">UCDP/PRIO ACD v19.1 (gwno_loc) + ручне кодування локусу</t>
  </si>
  <si>
    <t xml:space="preserve">Роки, для яких локус бойових дій не встановлено: конфлікти, що почалися після 2018 р. і тому відсутні в ACD v19.1, та три незакодовані міждержавні пари</t>
  </si>
  <si>
    <t xml:space="preserve">Спосіб встановлення локусу для цієї держави за всіма її конфліктами</t>
  </si>
  <si>
    <t xml:space="preserve">0,00–1,00, формула</t>
  </si>
  <si>
    <t xml:space="preserve">Модель комплектування станом на останнє спостереження</t>
  </si>
  <si>
    <t xml:space="preserve">{conscription — призов; voluntary — контракт}</t>
  </si>
  <si>
    <t xml:space="preserve">Тривалість у місяцях службового обов’язку, згаданого в тексті першоджерела, вилучена автоматично. Поле джерела не розрізняє строкового терміну, початкового контрактного обов’язку, резервного обов’язку та обов’язку реєстрації, тож ця змінна НЕ є терміном строкової служби і не може використовуватися як такий. Збережена як сира екстракція; використовуйте conscription_term_months_manual</t>
  </si>
  <si>
    <t xml:space="preserve">числове, неперевірене</t>
  </si>
  <si>
    <t xml:space="preserve">Воєнні витрати як частка ВВП, останній наявний рік</t>
  </si>
  <si>
    <t xml:space="preserve">Тривалість строкового військового обов’язку, місяців; заповнюється вручну після звірки з manning_source_text. Порожня за задумом</t>
  </si>
  <si>
    <t xml:space="preserve">ручне кодування</t>
  </si>
  <si>
    <t xml:space="preserve">Дослівний текст поля першоджерела про вік і термін військового обов’язку — для перевірки manning_model та обох стовпців терміну</t>
  </si>
  <si>
    <t xml:space="preserve">Примітка щодо рядків, які не є сучасними національними державами або чий ряд охоплює зміну державності. Позначені рядки не є прямо зіставними з рештою</t>
  </si>
  <si>
    <t xml:space="preserve">Автоматичні позначки значень, які потребують звірки з джерелом, а не видалення</t>
  </si>
  <si>
    <t xml:space="preserve">Окремі конфлікти, у які держава вступила як другорядна сторона підтримки</t>
  </si>
  <si>
    <t xml:space="preserve">Окремі календарні роки в ролі підтримки</t>
  </si>
  <si>
    <t xml:space="preserve">Перший рік у ролі підтримки</t>
  </si>
  <si>
    <t xml:space="preserve">Останній рік у ролі підтримки</t>
  </si>
  <si>
    <t xml:space="preserve">Роки в ролі підтримки, коли конфлікт був на рівні війни</t>
  </si>
  <si>
    <t xml:space="preserve">Останній рік, покритий даними про конфлікти</t>
  </si>
  <si>
    <t xml:space="preserve">2024 для всіх держав</t>
  </si>
  <si>
    <t xml:space="preserve">Останній рік зі спостереженням чисельності для цієї держави</t>
  </si>
  <si>
    <t xml:space="preserve">рік, джерело завершується 2022 р.</t>
  </si>
  <si>
    <t xml:space="preserve">Останній рік, покритий джерелом бойових втрат. Стала величина 2003 для всіх держав; рік останньої власної війни держави подано в battle_deaths_last_year, і це інша величина</t>
  </si>
  <si>
    <t xml:space="preserve">2003 для всіх держав</t>
  </si>
  <si>
    <t xml:space="preserve">Рік оцінки моделі комплектування та чисельності</t>
  </si>
  <si>
    <t xml:space="preserve">4. ДЖЕРЕЛА ДАНИХ</t>
  </si>
  <si>
    <t xml:space="preserve">Версія та покриття</t>
  </si>
  <si>
    <t xml:space="preserve">Використано для</t>
  </si>
  <si>
    <t xml:space="preserve">1946–2024; 303 конфлікти, 5 652 конфлікто-роки</t>
  </si>
  <si>
    <t xml:space="preserve">Участь у конфліктах, роль, тип, предмет несумісності, інтенсивність</t>
  </si>
  <si>
    <t xml:space="preserve">Gleditsch, N. P., Wallensteen, P., Eriksson, M., Sollenberg, M., &amp; Strand, H. (2002). Armed conflict 1946–2001: A new dataset. Journal of Peace Research, 39(5), 615–637.</t>
  </si>
  <si>
    <t xml:space="preserve">v6.0; 1816–2022; 217 держав; 17 121 країно-рік</t>
  </si>
  <si>
    <t xml:space="preserve">Чисельність збройних сил, воєнні витрати, населення</t>
  </si>
  <si>
    <t xml:space="preserve">Singer, J. D. (1987). Reconstructing the Correlates of War dataset on material capabilities of states, 1816–1985. International Interactions, 14(2), 115–132.</t>
  </si>
  <si>
    <t xml:space="preserve">v4; до 2003 р.</t>
  </si>
  <si>
    <t xml:space="preserve">Бойові втрати за кожним учасником</t>
  </si>
  <si>
    <t xml:space="preserve">Sarkees, M. R., &amp; Wayman, F. W. (2010). Resort to war: A data guide to inter-state, extra-state, intra-state, and non-state wars, 1816–2007. CQ Press.</t>
  </si>
  <si>
    <t xml:space="preserve">v4.1; до 2008 р.</t>
  </si>
  <si>
    <t xml:space="preserve">Перехресна перевірка кодування внутрішніх конфліктів</t>
  </si>
  <si>
    <t xml:space="preserve">редакція 2025 р.; суспільне надбання</t>
  </si>
  <si>
    <t xml:space="preserve">Модель комплектування, термін служби, активний склад, воєнні витрати</t>
  </si>
  <si>
    <t xml:space="preserve">Перелік держав Ґледіча-Ворда / COW state system membership</t>
  </si>
  <si>
    <t xml:space="preserve">GW, ревізія 1999 р.; COW v2016</t>
  </si>
  <si>
    <t xml:space="preserve">Коди держав і розв’язання розбіжностей між двома системами</t>
  </si>
  <si>
    <t xml:space="preserve">пакет для R, канал доставки</t>
  </si>
  <si>
    <t xml:space="preserve">Стандартизована доставка трьох наведених вище масивів; значення вибірково звірено з першоджерелами</t>
  </si>
  <si>
    <t xml:space="preserve">5. ПРИМІТКИ ДО ОКРЕМИХ ВИПАДКІВ</t>
  </si>
  <si>
    <t xml:space="preserve">Україна, конфлікт 13219 (2014 р., внутрішній, предмет несумісності — влада) залишено в years_home_civil. Він відмінний від конфлікту на Донбасі і не є частиною російсько-української війни; саме він дає одиницю в цьому стовпці та однорічне перекриття з years_home_defensive.</t>
  </si>
  <si>
    <t xml:space="preserve">Ізраїль: показник years_home_civil завищений. UCDP кодує палестинські конфлікти як внутрішні, що не є громадянською війною проти власних громадян у звичайному розумінні.</t>
  </si>
  <si>
    <t xml:space="preserve">Вірменія (5 500), Канада (309), Бельгія (97) та ОАЕ (6) мають ненульові бойові втрати за COW, хоча жодного разу не фігурують як основна сторона в UCDP. Канада і Бельгія — наслідок зведення учасників коаліції ООН у Кореї до сторін підтримки; Вірменія — наслідок кодування Нагірного Карабаху як внутрішнього конфлікту Азербайджану, тобто тієї самої логіки, яку застосовано до російсько-українського конфлікту 2014–2021 рр.</t>
  </si>
  <si>
    <t xml:space="preserve">6. ВІДОМІ ОБМЕЖЕННЯ</t>
  </si>
  <si>
    <t xml:space="preserve">Покриття джерел завершується в різні роки. Кожна держава має власні стовпці coverage_*; значення в основних стовпцях є останніми фактичними записами в межах відповідного вікна і не можуть читатися як поточні.</t>
  </si>
  <si>
    <t xml:space="preserve">Показник intensity_level в UCDP стосується конфлікту в цілому, а не окремого учасника.</t>
  </si>
  <si>
    <t xml:space="preserve">Локус бойових дій у міждержавних конфліктах закодовано вручну для всіх 114 пар «держава — конфлікт»; три пари лишилися незакодованими. Кодування є авторським і потребує незалежної перевірки.</t>
  </si>
  <si>
    <t xml:space="preserve">Показник conscription_term_months розпізнано автоматично з вільного тексту; кілька значень ненадійні (зокрема Еритрея, Чад, Єгипет), і кожне число потребує звірки з текстом першоджерела.</t>
  </si>
  <si>
    <t xml:space="preserve">Масив призначений лише для опису. Причинних висновків не робиться, статистичні гіпотези не перевіряються.</t>
  </si>
  <si>
    <t xml:space="preserve">Для поля локації gwno_loc використано повну версію UCDP/PRIO ACD v19.1 (1946–2018, 28 полів), яке відсутнє в дистрибуції peacesciencer. Ряди 1946–2024 в усіх інших стовпцях походять із дистрибуції peacesciencer (15 полів).</t>
  </si>
  <si>
    <t xml:space="preserve">Afghanistan</t>
  </si>
  <si>
    <t xml:space="preserve">primary party</t>
  </si>
  <si>
    <t xml:space="preserve">peak during conflict years</t>
  </si>
  <si>
    <t xml:space="preserve">voluntary</t>
  </si>
  <si>
    <t xml:space="preserve">3.3% of GDP (2019)</t>
  </si>
  <si>
    <t xml:space="preserve">service is voluntary; there is no conscription (2023) | note: the Taliban dismissed nearly all women from the former Afghan National Defense and Security Forces, except those serving in detention facilities and assisting with body searches</t>
  </si>
  <si>
    <t xml:space="preserve">gwno_loc; manual locus coding</t>
  </si>
  <si>
    <t xml:space="preserve">Albania</t>
  </si>
  <si>
    <t xml:space="preserve">2% of GDP (2025 est.)</t>
  </si>
  <si>
    <t xml:space="preserve">18-30 for voluntary military service for men and women; conscription abolished 2010 (2025) | note: as of 2024, women comprised about 15% of the military's full-time personnel</t>
  </si>
  <si>
    <t xml:space="preserve">manual locus coding</t>
  </si>
  <si>
    <t xml:space="preserve">Algeria</t>
  </si>
  <si>
    <t xml:space="preserve">conscription</t>
  </si>
  <si>
    <t xml:space="preserve">8% of GDP (2024 est.)</t>
  </si>
  <si>
    <t xml:space="preserve">18 years of age for voluntary military service for men and women; 19 years of age for mandatory national service for men (all Algerian men must register at age 17); 12 months national service obligation (2025)</t>
  </si>
  <si>
    <t xml:space="preserve">conscription without a term</t>
  </si>
  <si>
    <t xml:space="preserve">Angola</t>
  </si>
  <si>
    <t xml:space="preserve">1% of GDP (2024 est.)</t>
  </si>
  <si>
    <t xml:space="preserve">20-45 years of age for compulsory and 18-45 years for voluntary military service for men; 20-45 years of age for voluntary service for women; 24-month conscript service obligation; the Navy is entirely staffed with volunteers (2025)</t>
  </si>
  <si>
    <t xml:space="preserve">gwno_loc</t>
  </si>
  <si>
    <t xml:space="preserve">Argentina</t>
  </si>
  <si>
    <t xml:space="preserve">0.6% of GDP (2024 est.)</t>
  </si>
  <si>
    <t xml:space="preserve">18-24 years of age for voluntary military service for men and women; conscription suspended in 1995; citizens can still be drafted in times of crisis, national emergency, or war, or if the Defense Ministry is unable to fill all vacancies to keep the military functional (2025) | note 1: as of 2024, women comprised nearly 20% of the active-duty military note 2: in 2025, the Argentine Government announced the creation of a Voluntary Military Service program for people aged 18–28 to be managed by th</t>
  </si>
  <si>
    <t xml:space="preserve">Armenia</t>
  </si>
  <si>
    <t xml:space="preserve">supporting party only</t>
  </si>
  <si>
    <t xml:space="preserve">peak 1946-2022</t>
  </si>
  <si>
    <t xml:space="preserve">5.5% of GDP (2024 est.)</t>
  </si>
  <si>
    <t xml:space="preserve">18-27 for voluntary (men and women), contract (men and women) or compulsory (men) military service; contract military service is 3-12 months or up to 5 years; conscripts serve 24 months; all citizens aged 27-50 are registered in the military reserve and may be called to serve if mobilization is declared (2025) | note: in 2023, Armenia approved six-month voluntary service for women, after which they have the option to switch to a five-year contract; previously, women served on a contract basis; a</t>
  </si>
  <si>
    <t xml:space="preserve">Australia</t>
  </si>
  <si>
    <t xml:space="preserve">2% of GDP (2024 est.)</t>
  </si>
  <si>
    <t xml:space="preserve">17 years of age (with parental consent; 18 years of age to deploy) for voluntary military service for men and women; no conscription (abolished 1972) (2025) | note 1: as of July 2024, New Zealanders who are permanent residents and have lived in Australia for at least 12 months could apply to join the ADF; from January 2025, eligible permanent residents from Canada, the UK, and the US were also to be allowed to apply note 2: women have served in all roles, including combat arms, since 2013; in 20</t>
  </si>
  <si>
    <t xml:space="preserve">Austria</t>
  </si>
  <si>
    <t xml:space="preserve">registration requirement at age 17, the legal minimum age for voluntary military service; men above the age of 18 are subject to compulsory military service; women may volunteer; compulsory service is for 6 months, or optionally, alternative civil/community service (Zivildienst) for 9 months (2025) | note: Austria also has a One-Year Volunteer Program (Einjährig-Freiwilligen-Ausbildung) for men and women, which substitutes for compulsory military service and serves as a gateway for those interes</t>
  </si>
  <si>
    <t xml:space="preserve">Azerbaijan</t>
  </si>
  <si>
    <t xml:space="preserve">5.1% of GDP (2024 est.)</t>
  </si>
  <si>
    <t xml:space="preserve">18-30 years of age for compulsory military service for men; 18-35 years of age voluntary/contractual service for men (18-40 for women volunteers); 18 months service for conscripts, 36 months for voluntary/contractual service (2025)</t>
  </si>
  <si>
    <t xml:space="preserve">Bahrain</t>
  </si>
  <si>
    <t xml:space="preserve">3% of GDP (2024 est.)</t>
  </si>
  <si>
    <t xml:space="preserve">18 years of age for voluntary military service; 18-55 to voluntarily join the reserves (2025)</t>
  </si>
  <si>
    <t xml:space="preserve">Bangladesh</t>
  </si>
  <si>
    <t xml:space="preserve">0.9% of GDP (2024 est.)</t>
  </si>
  <si>
    <t xml:space="preserve">varies by service, but generally 17-23 for voluntary military service; length of service also varies (2025)</t>
  </si>
  <si>
    <t xml:space="preserve">Belgium</t>
  </si>
  <si>
    <t xml:space="preserve">18 years of age for voluntary military service for men and women; maximum age varies by position; conscription abolished in 1995 (2025) | note 1: in 2024, women comprised about 11% of the military's full-time personnel note 2: foreign nationals 18-34 years of age who speak Dutch or French and are citizens of EU countries, Iceland, Lichtenstein, Norway, and Switzerland may apply to join the military</t>
  </si>
  <si>
    <t xml:space="preserve">Benin</t>
  </si>
  <si>
    <t xml:space="preserve">0.7% of GDP (2024 est.)</t>
  </si>
  <si>
    <t xml:space="preserve">18-30 years of age for voluntary and selective compulsory military service for men and women; compulsory service is 18 months (2025)</t>
  </si>
  <si>
    <t xml:space="preserve">no location in source</t>
  </si>
  <si>
    <t xml:space="preserve">Bhutan</t>
  </si>
  <si>
    <t xml:space="preserve">18 years of age for voluntary military service for men and women; militia training is compulsory for men aged 20-25 over a 3-year period (2025)</t>
  </si>
  <si>
    <t xml:space="preserve">Bolivia</t>
  </si>
  <si>
    <t xml:space="preserve">1.2% of GDP (2024 est.)</t>
  </si>
  <si>
    <t xml:space="preserve">voluntary service for men and women 18-22 years of age; selective 12-month compulsory service for men, 18-22 (24 months of search and rescue service can be substituted for military service) (2025) | note: as of 2024, women comprised about 11% of the Bolivian military's personnel</t>
  </si>
  <si>
    <t xml:space="preserve">Bosnia-Herzegovina</t>
  </si>
  <si>
    <t xml:space="preserve">0.8% of GDP (2024 est.)</t>
  </si>
  <si>
    <t xml:space="preserve">Botswana</t>
  </si>
  <si>
    <t xml:space="preserve">18-24 years of age (men and women) for general recruits and officer candidates; 18-40 for special entrant officers; no conscription (2025)</t>
  </si>
  <si>
    <t xml:space="preserve">Brazil</t>
  </si>
  <si>
    <t xml:space="preserve">1.1% of GDP (2024 est.)</t>
  </si>
  <si>
    <t xml:space="preserve">18-45 years of age for compulsory military service for men (only 5-10% of those inducted are required to serve); compulsory service obligation is generally 12 months; 17-45 (18 for women) years of age for voluntary service (2025) | note: in 2024, women were reported to comprise approximately 10% of the Brazilian military</t>
  </si>
  <si>
    <t xml:space="preserve">Bulgaria</t>
  </si>
  <si>
    <t xml:space="preserve">2.1% of GDP (2025 est.)</t>
  </si>
  <si>
    <t xml:space="preserve">18 years of age for voluntary service for men and women (2025) | note: in 2020, Bulgaria announced a program to allow every citizen up to the age of 40 to join the armed forces for 6 months of military service in the voluntary reserve</t>
  </si>
  <si>
    <t xml:space="preserve">Burkina Faso</t>
  </si>
  <si>
    <t xml:space="preserve">4.5% of GDP (2024 est.)</t>
  </si>
  <si>
    <t xml:space="preserve">generally, 18-35 years of age for voluntary military service for men and women; citizens 18-77 years of age are eligible to volunteer for the VDP (2025) | note: the military regime implemented an emergency law in 2023 that allows the president extensive powers to combat terrorist groups operating in the country, including conscripting citizens into the security services; the VDP reportedly has been used by the military regime as a platform for the forced recruitment of dissidents and activists t</t>
  </si>
  <si>
    <t xml:space="preserve">gwno_loc; manual locus coding; no location in source</t>
  </si>
  <si>
    <t xml:space="preserve">Burundi</t>
  </si>
  <si>
    <t xml:space="preserve">3.5% of GDP (2024 est.)</t>
  </si>
  <si>
    <t xml:space="preserve">18 years of age for voluntary military service for men and women (2025)</t>
  </si>
  <si>
    <t xml:space="preserve">Cambodia</t>
  </si>
  <si>
    <t xml:space="preserve">1.5% of GDP (2024 est.)</t>
  </si>
  <si>
    <t xml:space="preserve">18 is the legal minimum age for military service for men and women (2025) | note: in 2006, Cambodia's parliament approved a law requiring all Cambodians aged 18 to 30 to serve in the military for 18 months, although the law has never been enforced (service was to be voluntary for women); in 2025, the Cambodian Government announced that the 2006 conscription law would be enforced beginning in 2026 and have a 24-month service requirement</t>
  </si>
  <si>
    <t xml:space="preserve">Cameroon</t>
  </si>
  <si>
    <t xml:space="preserve">18-23 years of age for voluntary military service for men and women (18-28 for medical services); no conscription; service obligation 4 years (2025)</t>
  </si>
  <si>
    <t xml:space="preserve">Canada</t>
  </si>
  <si>
    <t xml:space="preserve">17 years of age for men and women for voluntary military service (with parental consent); 16 years of age for Reserve and Military College applicants; Canadian citizenship or permanent residence status required; service obligation 3-9 years depending on the position (2025) | note 1: Canada opened up all military occupations to women in 2001; women in 2024 comprised about 16% of the CAF note 2: the CAF offers waivers to foreign nationals applying for military service only in exceptional cases — t</t>
  </si>
  <si>
    <t xml:space="preserve">Central African Republic</t>
  </si>
  <si>
    <t xml:space="preserve">18-22 years of age for voluntary military service for men and women; no conscription although the constitution provides for the possibility of conscription in the event of an imminent threat to the country (2025)</t>
  </si>
  <si>
    <t xml:space="preserve">gwno_loc; no location in source</t>
  </si>
  <si>
    <t xml:space="preserve">Chad</t>
  </si>
  <si>
    <t xml:space="preserve">18-25 for voluntary service; men subject to 18-36 months of compulsory service at age 20; women are subject to 12 months of compulsory military or civic service at age 21 (2025)</t>
  </si>
  <si>
    <t xml:space="preserve">Chile</t>
  </si>
  <si>
    <t xml:space="preserve">18-24 for voluntary military service for men and women (17 for men with parental permission); selective compulsory service for men 18-24 (there are usually enough volunteers to make compulsory service unnecessary); service obligation is a maximum of 24 months (2025) | note: as of 2024, women comprised approximately 21% of the armed forces</t>
  </si>
  <si>
    <t xml:space="preserve">China</t>
  </si>
  <si>
    <t xml:space="preserve">18-26 years of age depending on education level for men and women for both volunteer and selective compulsory military service; 24-month service obligation (2025) | note: the PLA’s conscription system functions as a levy; the PLA establishes the number of enlistees needed, which produces quotas for the provinces; each province provides a set number of soldiers or sailors; if the number of volunteers fails to meet quotas, the local governments may compel individuals to enter military service</t>
  </si>
  <si>
    <t xml:space="preserve">Colombia</t>
  </si>
  <si>
    <t xml:space="preserve">3.4% of GDP (2024 est.)</t>
  </si>
  <si>
    <t xml:space="preserve">18-24 years of age for compulsory (men) and voluntary (men and women) military (and police) service; conscript service obligation is 18 months or 12 months for those with a college degree; conscripted soldiers reportedly include regular soldiers (conscripts without a high school degree), drafted high school graduates (bachilleres), and rural (campesino) soldiers who serve in their home regions (2025) | note: women comprised a little more than 3% of the active military in 2024</t>
  </si>
  <si>
    <t xml:space="preserve">Comoros</t>
  </si>
  <si>
    <t xml:space="preserve">18-25 years of age for voluntary military service for men and women; no conscription (2023)</t>
  </si>
  <si>
    <t xml:space="preserve">Congo</t>
  </si>
  <si>
    <t xml:space="preserve">Congo, Democratic Republic of</t>
  </si>
  <si>
    <t xml:space="preserve">18-35 years of age for voluntary military service for men and women; 18-45 years of age for compulsory military service for men; it is unclear how much conscription is used (2025) | note: in eastern Congo, fighters from armed groups, including some associated with government security forces, have been accused of forced recruitment of child soldiers</t>
  </si>
  <si>
    <t xml:space="preserve">Costa Rica</t>
  </si>
  <si>
    <t xml:space="preserve">Cote D'Ivoire</t>
  </si>
  <si>
    <t xml:space="preserve">18-26 (up to 35 for healthcare professionals) years of age for voluntary military service for men and women; conscription is authorized but reportedly not enforced (2025)</t>
  </si>
  <si>
    <t xml:space="preserve">Croatia</t>
  </si>
  <si>
    <t xml:space="preserve">18-29 years of age for voluntary military service for men and women; conscription abolished in 2008 but will be reinstated in 2026 when it will become mandatory for men aged 19-29 to undergo two months of basic military training (2025) | note: as of 2024, women comprised about 14% of the military's full-time personnel</t>
  </si>
  <si>
    <t xml:space="preserve">Cuba</t>
  </si>
  <si>
    <t xml:space="preserve">4.2% of GDP (2020 est.)</t>
  </si>
  <si>
    <t xml:space="preserve">military service is mandatory for all men and voluntary for women (ages 17-28); service obligation is 24 months with the Armed Forces or the Ministry of Interior; reserve commitment for men until age 45 (2025)</t>
  </si>
  <si>
    <t xml:space="preserve">obligation months on a voluntary force</t>
  </si>
  <si>
    <t xml:space="preserve">Cyprus</t>
  </si>
  <si>
    <t xml:space="preserve">1.7% of GDP (2024 est.)</t>
  </si>
  <si>
    <t xml:space="preserve">all Cypriot men must complete 14 months of compulsory service upon reaching the age of 18; women may volunteer for 6 months of service at age 18; men and women may also enlist as contract soldiers up to age 42 (2025)</t>
  </si>
  <si>
    <t xml:space="preserve">Czech Republic</t>
  </si>
  <si>
    <t xml:space="preserve">18-28 years of age for voluntary military service for men and women; conscription abolished 2004 (2025) | note: as of 2023, women comprised nearly 14% of the military's full-time personnel</t>
  </si>
  <si>
    <t xml:space="preserve">Czechoslovakia</t>
  </si>
  <si>
    <t xml:space="preserve">dissolved 1993</t>
  </si>
  <si>
    <t xml:space="preserve">state continuity</t>
  </si>
  <si>
    <t xml:space="preserve">Denmark</t>
  </si>
  <si>
    <t xml:space="preserve">3.2% of GDP (2025 est.)</t>
  </si>
  <si>
    <t xml:space="preserve">18 years of age for compulsory and voluntary military service for men and women; draftees serve 11 months, including five months of basic training, followed by six months in an operational unit (2025) | note 1: Denmark has had compulsory military service since 1849; conscripts are chosen by lottery; conscientious objectors can choose to instead serve 6 months in a non-military position, for example in Beredskabsstyrelsen (dealing with non-military disasters like fires, flood, pollution, etc.) or</t>
  </si>
  <si>
    <t xml:space="preserve">Djibouti</t>
  </si>
  <si>
    <t xml:space="preserve">3.5% of GDP (2019 est.)</t>
  </si>
  <si>
    <t xml:space="preserve">18-26 years of age for voluntary military service (2025)</t>
  </si>
  <si>
    <t xml:space="preserve">Dominican Republic</t>
  </si>
  <si>
    <t xml:space="preserve">17-early 20s for voluntary military service for men and women (ages vary depending on military service and position; under 18 admitted with permission of parents) (2025) | note: as of 2024, women made up approximately 17% of the active-duty military</t>
  </si>
  <si>
    <t xml:space="preserve">Ecuador</t>
  </si>
  <si>
    <t xml:space="preserve">2.2% of GDP (2024 est.)</t>
  </si>
  <si>
    <t xml:space="preserve">18-22 years of age for voluntary military service for men and women; 12-month service obligation; conscription abolished in 2008 (2025) | note: in 2024, women made up about 5% of the active military</t>
  </si>
  <si>
    <t xml:space="preserve">Egypt</t>
  </si>
  <si>
    <t xml:space="preserve">voluntary enlistment possible from age 16 for men and 17 for women; 18-30 years of age for compulsory service for men; service obligation 14-36 months, followed by a 9-year reserve obligation; active service length depends on education; high school drop-outs serve for the full 36 months, while college graduates serve for lesser periods of time, depending on their education level (2025)</t>
  </si>
  <si>
    <t xml:space="preserve">El Salvador</t>
  </si>
  <si>
    <t xml:space="preserve">18-30 years of age for voluntary military service for men and women (17-22 for military schools); men are subject to selective compulsory military service; service obligation up to 18 months (2025) | note: in 2024, women comprised over 11% of the active military</t>
  </si>
  <si>
    <t xml:space="preserve">Eritrea</t>
  </si>
  <si>
    <t xml:space="preserve">10% of GDP (2019 est.)</t>
  </si>
  <si>
    <t xml:space="preserve">Eritrea mandates military service for all citizens age 18-40; 18-month conscript service obligation, which reportedly includes 4-6 months of military training and 12 months of military or other national service (military service is most common); in practice, military and national service is often extended indefinitely; citizens up to the age of 59 eligible for recall during mobilization (2025)</t>
  </si>
  <si>
    <t xml:space="preserve">Estonia</t>
  </si>
  <si>
    <t xml:space="preserve">3.4% of GDP (2025 est.)</t>
  </si>
  <si>
    <t xml:space="preserve">18-27 for compulsory military or governmental service for men; conscript service requirement 8-11 months depending on education; non-commissioned officers, reserve officers, and specialists serve 11 months; women can volunteer, and as of 2018 could serve in any military branch (2025) | note 1: conscripts comprise approximately 3,000-3,300 of the Estonian military's active-duty personnel and serve in all branches, except for the Air Force; after conscript service, reservists are called up for tra</t>
  </si>
  <si>
    <t xml:space="preserve">Ethiopia</t>
  </si>
  <si>
    <t xml:space="preserve">18-22 years of age for voluntary military service; 24-month service obligation; no compulsory military service, but the military can conduct callups when necessary and compliance is compulsory (2025)</t>
  </si>
  <si>
    <t xml:space="preserve">Finland</t>
  </si>
  <si>
    <t xml:space="preserve">2.8% of GDP (2025 est.)</t>
  </si>
  <si>
    <t xml:space="preserve">all Finnish men are obligated to serve 5.5-12 months of service within a branch of the military or the Border Guard upon reaching the age of 18 (length of service depends on the type of duty); women 18-29 may volunteer for service; there is also an option to perform non-military service which lasts for 8.5 or 11.5 months; after completing their initial conscript obligation, individuals enter the reserves and remain eligible for mobilization until the age of 50 for rank-and-file and 60 for non-co</t>
  </si>
  <si>
    <t xml:space="preserve">France</t>
  </si>
  <si>
    <t xml:space="preserve">generally 17-30 years of age for both men and women with some variations by service, position, and enlisted versus officer; 17-40 for National Gendarmerie; basic service contract is for 12 months; no conscription (abolished 2001) (2025) | note 1: a 10-month voluntary military service program for French citizens 18-19 is scheduled to start accepting recruits in September 2026; afterwards, the volunteers can integrate into civilian life, become a reservist, or stay in the armed forces note 2: in 2</t>
  </si>
  <si>
    <t xml:space="preserve">extrasystemic, by definition abroad; gwno_loc; manual locus coding</t>
  </si>
  <si>
    <t xml:space="preserve">Gabon</t>
  </si>
  <si>
    <t xml:space="preserve">18-24 years of age for voluntary military service; no conscription (2025)</t>
  </si>
  <si>
    <t xml:space="preserve">Gambia</t>
  </si>
  <si>
    <t xml:space="preserve">18-28 years of age for men and women depending on enlisted, officer, or specialized positions (2025)</t>
  </si>
  <si>
    <t xml:space="preserve">Georgia</t>
  </si>
  <si>
    <t xml:space="preserve">18-35 years of age for voluntary military service for men and women; conscription was abolished in 2016, but reinstated in 2017 for men 18-27 years of age; conscript service obligation is up to 11 months depending on the assigned ministry, job specialty, and if the service is carried out in a combat unit (2025) | note: conscripts serve in the Defense Forces, the Ministry of Internal Affairs, or the Ministry of Corrections</t>
  </si>
  <si>
    <t xml:space="preserve">Germany</t>
  </si>
  <si>
    <t xml:space="preserve">German Federal Republic</t>
  </si>
  <si>
    <t xml:space="preserve">17-23 years of age for voluntary military service for men and women (must have completed compulsory full-time education and have German citizenship); service obligation 7-23 months or 12 years (2025) | note 1: conscription ended in 2011; in 2020, the German Government launched a new voluntary conscript initiative focused on homeland security tasks, with the volunteers serving for 7 months plus 5 months as reservists over a 6-year period note 2: in December 2025, Germany passed a law reforming mi</t>
  </si>
  <si>
    <t xml:space="preserve">German Federal Republic in the GW list; personnel series ends 1990</t>
  </si>
  <si>
    <t xml:space="preserve">Ghana</t>
  </si>
  <si>
    <t xml:space="preserve">0.4% of GDP (2024 est.)</t>
  </si>
  <si>
    <t xml:space="preserve">18-27 years of age for voluntary military service; no conscription (2025) | note: as of 2024, women comprised approximately 15% of the military; Ghanaian women first began serving in the late 1950s</t>
  </si>
  <si>
    <t xml:space="preserve">Greece</t>
  </si>
  <si>
    <t xml:space="preserve">2.9% of GDP (2025 est.)</t>
  </si>
  <si>
    <t xml:space="preserve">18 years of age for voluntary military service for men and women; all Greek men 19-45 are subject to compulsory military service; 12-month obligation for all services (note - as an exception, the duration of the full military service is 9 instead of 12 months if conscripts, after the initial training, serve the entire remaining time in certain areas of the eastern borders, in Cyprus, or in certain military units) (2026) | note 1: in July 2025, the Greek Government unveiled several defense reform</t>
  </si>
  <si>
    <t xml:space="preserve">Guatemala</t>
  </si>
  <si>
    <t xml:space="preserve">18-28 for voluntary service for men and women (17-21 for military schools); all Guatemalan men 18-49 are subject to selective compulsory service; service obligation is 12-24 months (2025)</t>
  </si>
  <si>
    <t xml:space="preserve">Guinea</t>
  </si>
  <si>
    <t xml:space="preserve">2.1% of GDP (2024 est.)</t>
  </si>
  <si>
    <t xml:space="preserve">18 years of age for voluntary and selective conscripted service; 9-12 months of service (2025)</t>
  </si>
  <si>
    <t xml:space="preserve">Guinea-Bissau</t>
  </si>
  <si>
    <t xml:space="preserve">18-25 years of age for selective compulsory military service for men and women (Air Force service is voluntary) (2025)</t>
  </si>
  <si>
    <t xml:space="preserve">Haiti</t>
  </si>
  <si>
    <t xml:space="preserve">men and women 18-25 may volunteer for the FAdH (2023)</t>
  </si>
  <si>
    <t xml:space="preserve">Honduras</t>
  </si>
  <si>
    <t xml:space="preserve">18-22 years of age for voluntary military service for men and women; 24&amp;ndash;36 month service obligation; no conscription (2026)</t>
  </si>
  <si>
    <t xml:space="preserve">Hungary</t>
  </si>
  <si>
    <t xml:space="preserve">18 years of age for voluntary military service; no conscription (abolished 2005) (2026)</t>
  </si>
  <si>
    <t xml:space="preserve">Iceland</t>
  </si>
  <si>
    <t xml:space="preserve">India</t>
  </si>
  <si>
    <t xml:space="preserve">ages vary by branch of service and positions, but generally 17-27 years of age for voluntary military service for men and women; no conscription (2025) | note 1: in 2022, the Indian Government began recruiting men aged 17.5-21 annually to serve on 4-year contracts; at the end of their tenure, 25% would be retained for longer terms of service, while the remainder would be forced to leave the military, although some of those leaving would be eligible to serve in the Coast Guard, the Merchant Navy,</t>
  </si>
  <si>
    <t xml:space="preserve">Indonesia</t>
  </si>
  <si>
    <t xml:space="preserve">18 years of age for voluntary service for men and women; upper age limits vary by military service, position, specialty; compulsory service authorized but not utilized (2025)</t>
  </si>
  <si>
    <t xml:space="preserve">Iran</t>
  </si>
  <si>
    <t xml:space="preserve">16 for voluntary military service for men; military service is compulsory for all Iranian men at age 18 or 19 years of age; compulsory service obligation 14-21 months, depending on the location of service; women exempted from conscription but may volunteer (2025) | note: conscripts may serve in the Artesh, IRGC, or Law Enforcement</t>
  </si>
  <si>
    <t xml:space="preserve">Iraq</t>
  </si>
  <si>
    <t xml:space="preserve">2.5% of GDP (2024 est.)</t>
  </si>
  <si>
    <t xml:space="preserve">18 years of age for voluntary military service; no conscription (2025)</t>
  </si>
  <si>
    <t xml:space="preserve">extreme personnel share</t>
  </si>
  <si>
    <t xml:space="preserve">Ireland</t>
  </si>
  <si>
    <t xml:space="preserve">0.2% of GDP (2024 est.)</t>
  </si>
  <si>
    <t xml:space="preserve">18-38 years of age for men and women for voluntary military service (2026) | note 1: as of 2025, women made up about 7.5% of the military's full-time personnel note 2: the Defense Forces are open to refugees under the Refugee Act of 1996 and nationals of the European Economic Area, which include EU member states, Iceland, Liechtenstein, and Norway</t>
  </si>
  <si>
    <t xml:space="preserve">Israel</t>
  </si>
  <si>
    <t xml:space="preserve">18-28 years of age for voluntary military service; 18 months service for men, 12 months for women; 18-21 years of age for compulsory military service for men and women; Jews and Druze can be conscripted; Christians, Circassians, and Muslims may volunteer; conscript service obligation is up to 36 months for enlisted personnel (depending on sex, marital status, and military occupation); officers serve 48 months; Air Force pilots commit to 9 years of service (2024)</t>
  </si>
  <si>
    <t xml:space="preserve">Italy</t>
  </si>
  <si>
    <t xml:space="preserve">Italy/Sardinia</t>
  </si>
  <si>
    <t xml:space="preserve">17 or 18 years of age for voluntary military service for men and women ; voluntary service is a minimum of 12 months with the option to extend in the Armed Forces or compete for positions in other government security organizations; conscription abolished 2004 (2025) | note: women serve in all military branches; as of 2023, women made up about 8% of the military's full-time personnel</t>
  </si>
  <si>
    <t xml:space="preserve">Japan</t>
  </si>
  <si>
    <t xml:space="preserve">1.4% of GDP (2024 est.)</t>
  </si>
  <si>
    <t xml:space="preserve">18-32 years of age for voluntary military service for men and women; no conscription (2025) | note: as of 2023, women made up about 9% of the military's full-time personnel</t>
  </si>
  <si>
    <t xml:space="preserve">Jordan</t>
  </si>
  <si>
    <t xml:space="preserve">17 years of age for voluntary military service for men and women; initial service term is 24 months; selective compulsory military service (3 months) for men turning 18 will be reinstated in 2026; compulsory military service for jobless men aged 25-29 was reinstated in 2020 (12 months; 3 months of military training and 9 months of professional and technical training) (2025)</t>
  </si>
  <si>
    <t xml:space="preserve">Kazakhstan</t>
  </si>
  <si>
    <t xml:space="preserve">men 18-27 are subject to conscription for 12-24 months; conscripts may be assigned to the Armed Forces, the National Guard, the Border Service, the State Security Service, or the Ministry of Emergency Situations; women may volunteer (2025)</t>
  </si>
  <si>
    <t xml:space="preserve">Kenya</t>
  </si>
  <si>
    <t xml:space="preserve">18-26 years of age for voluntary service for men and women (under 18 with parental consent; upper limit 30 years of age for specialists, tradesmen, or women with a diploma; 39 years of age for chaplains/imams); 7-9 year service obligations (2026)</t>
  </si>
  <si>
    <t xml:space="preserve">obligation months on a voluntary force; obligation over 36 months</t>
  </si>
  <si>
    <t xml:space="preserve">Kuwait</t>
  </si>
  <si>
    <t xml:space="preserve">4.9% of GDP (2024 est.)</t>
  </si>
  <si>
    <t xml:space="preserve">18 years of age for voluntary military service for men and women; 12-month compulsory service for men aged 18-35; mandatory service is divided into two phases – 4 months for training and 8 months for military service (2025) | note: the National Guard is restricted to citizens, but in 2018, the Army began allowing non-Kuwaitis to join on contract or as non-commissioned officers; that same year, it also began allowing stateless people (Bidoon) to join</t>
  </si>
  <si>
    <t xml:space="preserve">Kyrgyzstan</t>
  </si>
  <si>
    <t xml:space="preserve">Kyrgyz Republic</t>
  </si>
  <si>
    <t xml:space="preserve">18-27 years of age for compulsory or voluntary service for men in the Armed Forces or Interior Ministry; 12-month service obligation (9 months for university graduates), with optional fee-based 3-year service in the call-up mobilization reserve; women may volunteer at age 19; 16-17 years of age for military cadets, who cannot take part in military operations (2025)</t>
  </si>
  <si>
    <t xml:space="preserve">Laos</t>
  </si>
  <si>
    <t xml:space="preserve">0.2% of GDP (2019 est.)</t>
  </si>
  <si>
    <t xml:space="preserve">18 years of age for voluntary military service; mandatory military service for men 18-35 with a minimum 18-month service obligation (2025)</t>
  </si>
  <si>
    <t xml:space="preserve">Latvia</t>
  </si>
  <si>
    <t xml:space="preserve">3.7% of GDP (2025 est.)</t>
  </si>
  <si>
    <t xml:space="preserve">mandatory military service for all men 18-24; men and women 18-27 may volunteer for military service; service length 11 months in the Armed Forces or National Guard, or 5 years in the National Guard as a whole, with a minimum of 21 days of individual training and a maximum of 7 days of collective training each year (2026) | note 1: conscription was reintroduced in 2024 note 2: as of 2024, women comprised about 16.5% of the military's full-time personnel</t>
  </si>
  <si>
    <t xml:space="preserve">Lebanon</t>
  </si>
  <si>
    <t xml:space="preserve">2.9% of GDP (2022 est.)</t>
  </si>
  <si>
    <t xml:space="preserve">18-25 years of age for voluntary military service for men and women; no conscription (2026)</t>
  </si>
  <si>
    <t xml:space="preserve">Lesotho</t>
  </si>
  <si>
    <t xml:space="preserve">20-30 years of age for voluntary military service for both men and women (2026)</t>
  </si>
  <si>
    <t xml:space="preserve">Liberia</t>
  </si>
  <si>
    <t xml:space="preserve">18 years of age for men and women for voluntary military service (2025)</t>
  </si>
  <si>
    <t xml:space="preserve">Libya</t>
  </si>
  <si>
    <t xml:space="preserve">not available</t>
  </si>
  <si>
    <t xml:space="preserve">Lithuania</t>
  </si>
  <si>
    <t xml:space="preserve">4% of GDP (2025 est.)</t>
  </si>
  <si>
    <t xml:space="preserve">19-26 years of age for conscripted military service for men; 9-month service obligation; 18-38 for voluntary service for men and women; 18-60 for the National Defense Volunteer Services (2025) | note 1: in 2015, Lithuania reinstated conscription after having converted to a professional military in 2008; it conscripts up to 4,000 men each year; conscripts are selected using an automated lottery system note 2: as of 2020, women comprised about 12% of the military's full-time personnel</t>
  </si>
  <si>
    <t xml:space="preserve">Luxembourg</t>
  </si>
  <si>
    <t xml:space="preserve">18-26 years of age for voluntary military service for men and women; no conscription (abolished 1969) (2025) | note 1: since 2003, the Army has allowed EU citizens 18-24 years of age who have been a resident in the country for at least 36 months to volunteer note 2: 2024, women made up about 12% of the military's full-time personnel</t>
  </si>
  <si>
    <t xml:space="preserve">Macedonia</t>
  </si>
  <si>
    <t xml:space="preserve">Madagascar</t>
  </si>
  <si>
    <t xml:space="preserve">18 years of age for voluntary military service for men and women; service obligation 18 months; conscription available in times of national emergency or war (2025)</t>
  </si>
  <si>
    <t xml:space="preserve">Malawi</t>
  </si>
  <si>
    <t xml:space="preserve">18-24 years of age for men and women for voluntary military service (2025)</t>
  </si>
  <si>
    <t xml:space="preserve">Malaysia</t>
  </si>
  <si>
    <t xml:space="preserve">17 years 6 months of age for voluntary military service for men and women (younger with parental consent and proof of age); mandatory retirement age 60; no conscription (2025)</t>
  </si>
  <si>
    <t xml:space="preserve">Mali</t>
  </si>
  <si>
    <t xml:space="preserve">4.3% of GDP (2024 est.)</t>
  </si>
  <si>
    <t xml:space="preserve">18 years of age for men and women for selective compulsory and voluntary military service; 24-month compulsory service obligation (2025)</t>
  </si>
  <si>
    <t xml:space="preserve">Mauritania</t>
  </si>
  <si>
    <t xml:space="preserve">2.4% of GDP (2024 est.)</t>
  </si>
  <si>
    <t xml:space="preserve">18 is the legal minimum age for voluntary military service; has a compulsory two-year military service law, but the law has reportedly never been applied (2025)</t>
  </si>
  <si>
    <t xml:space="preserve">Mexico</t>
  </si>
  <si>
    <t xml:space="preserve">18 years of age (16 with parental consent) for voluntary service for men and women; men at age 18 subject to lottery-based 12-month compulsory military service&amp;nbsp; (2025)</t>
  </si>
  <si>
    <t xml:space="preserve">Moldova</t>
  </si>
  <si>
    <t xml:space="preserve">18-27 years of age for compulsory or voluntary military service; male registration required at age 16; 12-month service obligation; conscientious objectors can perform non-military service in public institutions for a longer period (up to 24 months) (2025) | note: as of 2024, women made up about 23% of the military's full-time personnel</t>
  </si>
  <si>
    <t xml:space="preserve">Mongolia</t>
  </si>
  <si>
    <t xml:space="preserve">18-25 years of age for voluntary service for men and women; initial service 24 months; compulsory service for men at 18; service obligation is 12 months in the military or police, which can be extended to 15 months under special circumstances; compulsory service can be exchanged for a 24‐month stint in the civil service or a cash payment determined by the Mongolian Government; after conscription, soldiers can contract into military service for up to 4 years (2025)</t>
  </si>
  <si>
    <t xml:space="preserve">Montenegro</t>
  </si>
  <si>
    <t xml:space="preserve">18-30 for voluntary military service; conscription abolished in 2006 (2025) | note: as of 2024, women made up over 11% of the military's full-time personnel</t>
  </si>
  <si>
    <t xml:space="preserve">Morocco</t>
  </si>
  <si>
    <t xml:space="preserve">4% of GDP (2024 est.)</t>
  </si>
  <si>
    <t xml:space="preserve">19-25 years of age for 12-month compulsory and voluntary military service for men and women (2025)</t>
  </si>
  <si>
    <t xml:space="preserve">Mozambique</t>
  </si>
  <si>
    <t xml:space="preserve">registration for military service is mandatory for all men and women at 18 years of age; 18-35 years of age for selective compulsory military service; 18 years of age for voluntary service for men and women; initial 60-month service obligation (2025)</t>
  </si>
  <si>
    <t xml:space="preserve">obligation over 36 months</t>
  </si>
  <si>
    <t xml:space="preserve">Myanmar</t>
  </si>
  <si>
    <t xml:space="preserve">3.9% of GDP (2023 est.)</t>
  </si>
  <si>
    <t xml:space="preserve">Namibia</t>
  </si>
  <si>
    <t xml:space="preserve">2.8% of GDP (2024 est.)</t>
  </si>
  <si>
    <t xml:space="preserve">18-25 years of age for men and women for voluntary military service; no conscription (2026)</t>
  </si>
  <si>
    <t xml:space="preserve">Nepal</t>
  </si>
  <si>
    <t xml:space="preserve">18 years of age for voluntary military service for men and women; upper age limit varies; no conscription&amp;nbsp; (2025)</t>
  </si>
  <si>
    <t xml:space="preserve">Netherlands</t>
  </si>
  <si>
    <t xml:space="preserve">2.5% of GDP (2025 est.)</t>
  </si>
  <si>
    <t xml:space="preserve">17 years of age for voluntary service for men and women; the military is an all-volunteer force; conscription remains in place, but the requirement to show up for compulsory military service was suspended in 1997 (2025)</t>
  </si>
  <si>
    <t xml:space="preserve">extrasystemic, by definition abroad; manual locus coding</t>
  </si>
  <si>
    <t xml:space="preserve">New Zealand</t>
  </si>
  <si>
    <t xml:space="preserve">17 years of age for voluntary military service for men and women; soldiers cannot be deployed until the age of 18; no conscription (2025) | note: New Zealand opened up all military occupations to women in 2000; as of 2024, women accounted for about 20% of Regular Force personnel</t>
  </si>
  <si>
    <t xml:space="preserve">Nicaragua</t>
  </si>
  <si>
    <t xml:space="preserve">0.5% of GDP (2024 est.)</t>
  </si>
  <si>
    <t xml:space="preserve">18-30 years of age for voluntary military service (16-20 for cadets); no conscription; tour of duty 18-36 months (2025)</t>
  </si>
  <si>
    <t xml:space="preserve">Niger</t>
  </si>
  <si>
    <t xml:space="preserve">18 is the legal minimum age for selective compulsory or voluntary military service for unmarried men and women; 24-month service term (2025)</t>
  </si>
  <si>
    <t xml:space="preserve">Nigeria</t>
  </si>
  <si>
    <t xml:space="preserve">0.6% of GDP (2024)</t>
  </si>
  <si>
    <t xml:space="preserve">18-25 years of age for voluntary military service for men and women; no conscription (2025)</t>
  </si>
  <si>
    <t xml:space="preserve">North Korea</t>
  </si>
  <si>
    <t xml:space="preserve">Korea, People's Republic of</t>
  </si>
  <si>
    <t xml:space="preserve">compulsory military service for men (17-30 years of age) and women (17-23 years of age); service obligation is reportedly up to 10 years for men and up to 7 years for women (2025)</t>
  </si>
  <si>
    <t xml:space="preserve">Norway</t>
  </si>
  <si>
    <t xml:space="preserve">17 (men) or 18 (women) for voluntary military service; all Norwegian citizens 19-44 are subject to selective compulsory military service; 19-month service obligation for those selected (12 months plus 4-5 refresher training periods) (2025) | note 1: Norway has had compulsory military service since 1907; individuals conscripted each year are selected from a larger cohort who are evaluated through online assessments and physical tests note 2: Norway was the first NATO country to allow women to ser</t>
  </si>
  <si>
    <t xml:space="preserve">Oman</t>
  </si>
  <si>
    <t xml:space="preserve">6% of GDP (2024 est.)</t>
  </si>
  <si>
    <t xml:space="preserve">18-25 for voluntary military service for men and women; no conscription (2025) | note: women have served since 2011</t>
  </si>
  <si>
    <t xml:space="preserve">Pakistan</t>
  </si>
  <si>
    <t xml:space="preserve">16-28 years of age for voluntary military service for men and women; lower and upper age limits vary by military branch, position, and role; personnel cannot be deployed for combat until age 18 (2025)</t>
  </si>
  <si>
    <t xml:space="preserve">Panama</t>
  </si>
  <si>
    <t xml:space="preserve">Papua New Guinea</t>
  </si>
  <si>
    <t xml:space="preserve">0.3% of GDP (2024 est.)</t>
  </si>
  <si>
    <t xml:space="preserve">18-27 (30 for officers) for voluntary military service for men and women; no conscription (2025)</t>
  </si>
  <si>
    <t xml:space="preserve">Paraguay</t>
  </si>
  <si>
    <t xml:space="preserve">18-25 years of age for voluntary service for men and women; all men 18-25 are required to perform military service for at least 12 months (2025)</t>
  </si>
  <si>
    <t xml:space="preserve">Peru</t>
  </si>
  <si>
    <t xml:space="preserve">18-30 years of age for voluntary military service (12-24 months) (2025) | note: as of 2024, women made up about 11% of the active-duty military</t>
  </si>
  <si>
    <t xml:space="preserve">Philippines</t>
  </si>
  <si>
    <t xml:space="preserve">some variations in age based on the branch of service, but generally 18-27 years of age for voluntary military service for men and women; no conscription (2025) | note: as of 2023, women made up about 8% of the active military; women have attended the Philippine Military Academy and trained as combat soldiers since 1993</t>
  </si>
  <si>
    <t xml:space="preserve">Poland</t>
  </si>
  <si>
    <t xml:space="preserve">4.5% of GDP (2025 est.)</t>
  </si>
  <si>
    <t xml:space="preserve">18 years of age for voluntary military service for men and women; no conscription; professional soldiers serve on a permanent basis (for an unspecified period of time) or on a contract basis (for a specified period of time); initial contract period is 24 months (2025) | note 1: as of 2024, women made up about 16.5% of the military's full-time personnel note 2: in 2022, Poland announced a new 12-month voluntary military service program with recruits going through a one-month basic training period</t>
  </si>
  <si>
    <t xml:space="preserve">Portugal</t>
  </si>
  <si>
    <t xml:space="preserve">18-30 years of age for voluntary or contract military service for men and women (upper age limit varies by military branch, position, role); no compulsory military service (abolished 2004) but conscription possible if insufficient volunteers available; contract service lasts for an initial period of 2-6 years, and can be extended to a maximum of 20 years of service; initial voluntary military service lasts 12 months; reserve obligation to age 35 (2025)</t>
  </si>
  <si>
    <t xml:space="preserve">extrasystemic, by definition abroad</t>
  </si>
  <si>
    <t xml:space="preserve">Qatar</t>
  </si>
  <si>
    <t xml:space="preserve">5% of GDP (2023 est.)</t>
  </si>
  <si>
    <t xml:space="preserve">typically 18-30 for voluntary service for men and women; compulsory military service for men 18-35; compulsory service is from 4-12 months, depending on educational and professional circumstances (2025) | note: the military incorporates about 2,000 conscripts annually and recruits foreign contract soldiers to overcome manpower limitations</t>
  </si>
  <si>
    <t xml:space="preserve">Romania</t>
  </si>
  <si>
    <t xml:space="preserve">Rumania</t>
  </si>
  <si>
    <t xml:space="preserve">typically 18-35 years of age for voluntary service for men and women; compulsory service ended in 2007 (2025) | note: in 2025, the Romanian Government approved a voluntary service plan for citizens aged 18 to 35 to apply for a four-month basic military training programme, open to both men and women who have not completed active military service or not already in reserve; participants would subsequently be registered as reservists</t>
  </si>
  <si>
    <t xml:space="preserve">Russia</t>
  </si>
  <si>
    <t xml:space="preserve">7% of GDP (2024 est.)</t>
  </si>
  <si>
    <t xml:space="preserve">18-30 years of age for compulsory service for men; 18-65 years of age for voluntary/contractual service; women and non-Russian citizens (18-30) may volunteer; minimum 12-month service obligation (2025) | note 1: in 2022, Russia removed the previous upper age limit of 30 for contractual service in the military; that same year, began drafting dual-national Russians and those with permanent residency status in foreign countries for military service note 2: since 2015, foreigners 18-30 with a good c</t>
  </si>
  <si>
    <t xml:space="preserve">USSR to 1991, Russian Federation after; series is continuous</t>
  </si>
  <si>
    <t xml:space="preserve">Rwanda</t>
  </si>
  <si>
    <t xml:space="preserve">1.3% of GDP (2024 est.)</t>
  </si>
  <si>
    <t xml:space="preserve">typically 18-30 years of age for men and women for voluntary military service (including officer candidates and those with university degrees and specialized qualifications); enlistment is either as contract (5-years, renewable twice) or career professional; no conscription (2025)</t>
  </si>
  <si>
    <t xml:space="preserve">Saudi Arabia</t>
  </si>
  <si>
    <t xml:space="preserve">7.1% of GDP (2024 est.)</t>
  </si>
  <si>
    <t xml:space="preserve">voluntary military service for men (17-40) and women (typically 21-40, although maximum age may vary by role); no conscription&amp;nbsp; (2025)</t>
  </si>
  <si>
    <t xml:space="preserve">Senegal</t>
  </si>
  <si>
    <t xml:space="preserve">1.6% of GDP (2024 est.)</t>
  </si>
  <si>
    <t xml:space="preserve">18-28 (up to 35 for specialized roles); 24-month service commitment (2025)</t>
  </si>
  <si>
    <t xml:space="preserve">Sierra Leone</t>
  </si>
  <si>
    <t xml:space="preserve">18-25 for voluntary military service for men and women; no conscription (2025)</t>
  </si>
  <si>
    <t xml:space="preserve">Singapore</t>
  </si>
  <si>
    <t xml:space="preserve">18 years of age for voluntary enlistment for men and women (16.5 for early enlistment program with parental consent); 18-21 years of age for compulsory military service for men; 24-month conscript service obligation (2026) | note 1: all male Singaporean citizens and permanent residents, unless exempted, are required to enter National Service (NS) upon attaining the age of 18; most NS conscripts serve in the Armed Forces, but some go into the Police Force or Civil Defense Force; conscripts compri</t>
  </si>
  <si>
    <t xml:space="preserve">Slovakia</t>
  </si>
  <si>
    <t xml:space="preserve">minimum age is 18 for voluntary service for men and women; citizens 18-65 can volunteer for the military reserves (2026)</t>
  </si>
  <si>
    <t xml:space="preserve">Slovenia</t>
  </si>
  <si>
    <t xml:space="preserve">18-30 years of age for voluntary military service for men and women; recruits sign up for 3-, 5-, or 10-year service contracts; no conscription (2026) | note: as of 2025, women comprised about 16% of the military's full-time personnel</t>
  </si>
  <si>
    <t xml:space="preserve">Somalia</t>
  </si>
  <si>
    <t xml:space="preserve">6% of GDP (2021 est.)</t>
  </si>
  <si>
    <t xml:space="preserve">18-22 for voluntary military service for men and women in the Somali Armed Forces; compulsory service is reportedly authorized, but not currently utilized (2025)</t>
  </si>
  <si>
    <t xml:space="preserve">South Africa</t>
  </si>
  <si>
    <t xml:space="preserve">18-22 (18-26 for college graduates) years of age for voluntary military service for men and women; initial 24-month service obligation (2025) | note: in 2023, women comprised nearly 30% of the military</t>
  </si>
  <si>
    <t xml:space="preserve">South Korea</t>
  </si>
  <si>
    <t xml:space="preserve">Korea, Republic of</t>
  </si>
  <si>
    <t xml:space="preserve">2.3% of GDP (2025 est.)</t>
  </si>
  <si>
    <t xml:space="preserve">18-29 years of age for voluntary military service for men and women; mandatory military service for all eligible men 18-35 years of age (typically served from 20-28 years of age); compulsory service obligation is 18-21 months based on the branch of service and up to 36 months for alternative service (2025) | note: women, in service since 1950, are able to serve in all branches and as of 2024 more than 15,000 served in the armed forces</t>
  </si>
  <si>
    <t xml:space="preserve">South Sudan</t>
  </si>
  <si>
    <t xml:space="preserve">18 (legal minimum age)-35 for voluntary military service for men and women; 12-24 months service (2025) | note: the UN reports that there are thousands of child soldiers in South Sudan serving in the SSPDF and militia forces although the South Sudanese Government has pledged to end the practice</t>
  </si>
  <si>
    <t xml:space="preserve">South Vietnam</t>
  </si>
  <si>
    <t xml:space="preserve">Vietnam, Republic of</t>
  </si>
  <si>
    <t xml:space="preserve">dissolved 1975</t>
  </si>
  <si>
    <t xml:space="preserve">South Yemen</t>
  </si>
  <si>
    <t xml:space="preserve">Yemen, People's Republic of</t>
  </si>
  <si>
    <t xml:space="preserve">merged 1990</t>
  </si>
  <si>
    <t xml:space="preserve">Spain</t>
  </si>
  <si>
    <t xml:space="preserve">18 years of age for voluntary military service for men and women (upper age limits depend on branch of service, roles, specialties, etc); 24-36 month initial obligation; no conscription, but the Spanish Government retains the right to mobilize citizens 19-25 years of age in a national emergency; 18-58 for the voluntary reserves (2026) | note 1: as of 2024, women comprised about 13% of the military's full-time personnel; they serve in all branches, including combat arms note 2: the military recru</t>
  </si>
  <si>
    <t xml:space="preserve">extrasystemic, by definition abroad; gwno_loc</t>
  </si>
  <si>
    <t xml:space="preserve">Sri Lanka</t>
  </si>
  <si>
    <t xml:space="preserve">generally 18-24 years of age for voluntary military service for men and women, although upper age limits may vary by branch of service, roles, specialties, etc; no conscription (2026)</t>
  </si>
  <si>
    <t xml:space="preserve">Sudan</t>
  </si>
  <si>
    <t xml:space="preserve">1% of GDP (2021 est.)</t>
  </si>
  <si>
    <t xml:space="preserve">18-33 years of age for compulsory or voluntary military service for men and women; service obligation 12-24 months (2025) | note: official implementation of compulsory service is reportedly uneven; both the SAF and the RSF have been accused of engaging in forced recruitment of men and boys during the ongoing conflict</t>
  </si>
  <si>
    <t xml:space="preserve">Surinam</t>
  </si>
  <si>
    <t xml:space="preserve">1.2% of GDP (2019 est.)</t>
  </si>
  <si>
    <t xml:space="preserve">Sweden</t>
  </si>
  <si>
    <t xml:space="preserve">18 years of age for voluntary and selective conscripted service for men and women; conscript service obligation typically 9-15 months depending on the branch of service and position, with a reserve commitment up to age 45 (2026)</t>
  </si>
  <si>
    <t xml:space="preserve">Switzerland</t>
  </si>
  <si>
    <t xml:space="preserve">every Swiss man 18-30 is obligated to serve in the military or the alternative civilian service; women can serve on a voluntary basis; required military service is 245 days, including 18-21 weeks of basic training generally between the ages of 19-25, followed by six three-week recalls for refresher training over the following nine years; the system offers opportunities for conscripts to train as non-commissioned and commissioned officers in the militia with longer service commitments (2026) | no</t>
  </si>
  <si>
    <t xml:space="preserve">Syria</t>
  </si>
  <si>
    <t xml:space="preserve">6.5% of GDP (2019 est.)</t>
  </si>
  <si>
    <t xml:space="preserve">under Bashar al-ASAD, Syrian men aged 18-38 were required to serve 18-21 months in the military; conscription continued until ASAD's fall when the interim government announced that mandatory conscription to Syria&amp;rsquo;s armed forces would be abolished and only be reinstated in extreme cases, such as national emergencies relating to war (2025)</t>
  </si>
  <si>
    <t xml:space="preserve">Taiwan</t>
  </si>
  <si>
    <t xml:space="preserve">men 18-36 years of age may volunteer or must complete 12 months of compulsory military service; civil service can be substituted for military service in some cases; women can volunteer (2025) | note: in January 2024, Taiwan extended compulsory service from 4 to 12 months for men born in 2005 and thereafter</t>
  </si>
  <si>
    <t xml:space="preserve">extreme personnel share; conscription without a term</t>
  </si>
  <si>
    <t xml:space="preserve">Tajikistan</t>
  </si>
  <si>
    <t xml:space="preserve">1.8% of GDP (2024 est.)</t>
  </si>
  <si>
    <t xml:space="preserve">18-27 years of age for compulsory (men only) or voluntary (men and women) military service; up to a 24-month service obligation for conscripts based on education level (2025) | note 1: in addition to the Armed Forces, conscripts are assigned to Tajikistan's other security agencies note 2: those called up to perform military service can participate in just one month of military training instead of fulfilling the full service obligation for a fee of about the equivalent of $2,200 USD</t>
  </si>
  <si>
    <t xml:space="preserve">Tanzania</t>
  </si>
  <si>
    <t xml:space="preserve">Tanzania/Tanganyika</t>
  </si>
  <si>
    <t xml:space="preserve">generally 18-25 years of age for voluntary military service for men and women, but may go up to 35 years of age depending on education levels and for medical specialists; no conscription (2026)</t>
  </si>
  <si>
    <t xml:space="preserve">manual locus coding; no location in source</t>
  </si>
  <si>
    <t xml:space="preserve">Thailand</t>
  </si>
  <si>
    <t xml:space="preserve">18 years of age for voluntary military service for men and women; all men register at 17 years of age and are subject to selective compulsory military service at 21; volunteer service obligation may be as short as 6-18 months, depending on educational qualifications; conscript service obligation also varies by educational qualifications, but is typically 24 months (2025) | note: serving in the armed forces is a national duty of all Thai citizens; conscription was introduced in 1905; it includes </t>
  </si>
  <si>
    <t xml:space="preserve">gwno_loc; manual locus coding; uncoded interstate</t>
  </si>
  <si>
    <t xml:space="preserve">Togo</t>
  </si>
  <si>
    <t xml:space="preserve">18-24 years of age for military service for men and women; initial 24-month service obligation; no conscription (2025)</t>
  </si>
  <si>
    <t xml:space="preserve">Trinidad and Tobago</t>
  </si>
  <si>
    <t xml:space="preserve">generally 18-24 years of age for voluntary military service for men and women; no conscription (2025)</t>
  </si>
  <si>
    <t xml:space="preserve">Tunisia</t>
  </si>
  <si>
    <t xml:space="preserve">18 years of age for voluntary service for men and women; men 20-35 years of age subject to 12 months of compulsory national service (2025) | note: compulsory national service may be in the Armed Forces or other government ministries as needed</t>
  </si>
  <si>
    <t xml:space="preserve">Turkey</t>
  </si>
  <si>
    <t xml:space="preserve">military service is compulsory for Turkish men 20-41 for a period of 6-12 months; men and women may volunteer (2025) | note: after completing 1 month of basic training, conscripts have the option to opt out of the last 5 months by paying a fee</t>
  </si>
  <si>
    <t xml:space="preserve">Turkmenistan</t>
  </si>
  <si>
    <t xml:space="preserve">1.9% of GDP (2019 est.)</t>
  </si>
  <si>
    <t xml:space="preserve">18-27 years of age for compulsory military service for men and volunteer service for men and women; 24-month conscript service obligation (2025)</t>
  </si>
  <si>
    <t xml:space="preserve">Uganda</t>
  </si>
  <si>
    <t xml:space="preserve">2% of GDP (2023 est.)</t>
  </si>
  <si>
    <t xml:space="preserve">18-22 years of age for voluntary military duty for men and women; 9-year service obligation (2025)</t>
  </si>
  <si>
    <t xml:space="preserve">Ukraine</t>
  </si>
  <si>
    <t xml:space="preserve">4% of GDP (2021 est.)</t>
  </si>
  <si>
    <t xml:space="preserve">18 years of age for voluntary service for men and women; 25 years of age for conscription for men; 18-24 months service obligation (2025) | note 1: conscription was abolished in 2012, but reintroduced in 2014; following the Russian invasion in 2022, all non-exempt men ages 18-60 were required to register with their local recruitment offices and undergo medical screening for possible service; the Territorial Defense Forces accept volunteers, 18-60 years of age note 2: in February 2025, the milita</t>
  </si>
  <si>
    <t xml:space="preserve">gwno_loc; manual locus coding; variant B recoding</t>
  </si>
  <si>
    <t xml:space="preserve">United Arab Emirates</t>
  </si>
  <si>
    <t xml:space="preserve">18-40 for voluntary service; 18-30 years of age for compulsory national service for men with a 36-month service obligation for those without a secondary education and 11 months for secondary school graduates; women may volunteer for national service (11-month service obligation regardless of education) (2025) | note 1: compulsory service may be completed in the uniformed military, the Ministry of Interior, or other security institutions designated by the military leadership note 2: the UAE milit</t>
  </si>
  <si>
    <t xml:space="preserve">United Kingdom</t>
  </si>
  <si>
    <t xml:space="preserve">2.4% of GDP (2025 est.)</t>
  </si>
  <si>
    <t xml:space="preserve">16 years of age for enlisted ranks (with parental consent for under 18) and 18 years of age for officers; maximum age varies by military service; conscription abolished in 1963 (2026) | note 1: women serve in all branches and made up nearly 12% of the military's full-time personnel in 2025 note 2: the British military allows Commonwealth nationals who are current UK residents and have been in the country for at least 5 years to apply; it also accepts Irish citizens note 3: the British Army has c</t>
  </si>
  <si>
    <t xml:space="preserve">United States</t>
  </si>
  <si>
    <t xml:space="preserve">United States of America</t>
  </si>
  <si>
    <t xml:space="preserve">17 years of age (under 18 with parental consent) for voluntary service for men and women; maximum enlistment age varies by service; 8-year initial service obligation, including 2-5 years active duty depending on the particular military service (2025) | note 1: the US military has been all-volunteer since 1973, but an act of Congress can reinstate the draft in case of a national emergency; males aged 18-25 must register with Selective Service note 2: all military occupations and positions open to</t>
  </si>
  <si>
    <t xml:space="preserve">extrasystemic, by definition abroad; manual locus coding; manual override: transnational conflict fought abroad</t>
  </si>
  <si>
    <t xml:space="preserve">Uruguay</t>
  </si>
  <si>
    <t xml:space="preserve">generally 18-30 years of age (up to 22 for the Navy and up to 40 for some specialist positions) for voluntary military service for men and women; initial 24-month service obligation (2025)</t>
  </si>
  <si>
    <t xml:space="preserve">Uzbekistan</t>
  </si>
  <si>
    <t xml:space="preserve">2.8% of GDP (2019 est.)</t>
  </si>
  <si>
    <t xml:space="preserve">18-30 for voluntary/contract service for men and women; 18-27 years of age for compulsory military service for men with a 12-month service obligation (2025) | note: those conscripted have the option of paying for a shorter service of one month while remaining in the reserves until the age of 27; Uzbek citizens who have completed their service terms in the armed forces have privileges in employment and admission to higher educational institutions</t>
  </si>
  <si>
    <t xml:space="preserve">Venezuela</t>
  </si>
  <si>
    <t xml:space="preserve">18-30 (25 for women) for voluntary service; the minimum service obligation is 24-30 months; 17-39 for Militia service; all citizens of military service age (18-50) are obligated to register for military service and subject to military training (2025)</t>
  </si>
  <si>
    <t xml:space="preserve">Vietnam</t>
  </si>
  <si>
    <t xml:space="preserve">Vietnam, Democratic Republic of</t>
  </si>
  <si>
    <t xml:space="preserve">1.8% of GDP (2023 est.)</t>
  </si>
  <si>
    <t xml:space="preserve">18-27 years of age for compulsory and voluntary military service for men and women (in practice only men are drafted); service obligation is 24-36 months depending on the branch of service (including Coast Guard and Ministry of Public Security) (2025)</t>
  </si>
  <si>
    <t xml:space="preserve">Democratic Republic of Vietnam before 1976</t>
  </si>
  <si>
    <t xml:space="preserve">Yemen</t>
  </si>
  <si>
    <t xml:space="preserve">limited available information; 18 is the legal minimum age for military service under the Yemeni Government (2025) | note: there is widespread recruitment of fighters by numerous armed groups operating in Yemen; all parties to the civil war have been implicated in child soldier recruitment and use; in 2022, the Houthis signed a plan with the UN to end the recruitment and use of child soldiers; Houthi leaders previously pledged to end the use of child soldiers in 2012, as did the Government of Ye</t>
  </si>
  <si>
    <t xml:space="preserve">Yemen Arab Republic before 1990</t>
  </si>
  <si>
    <t xml:space="preserve">Yugoslavia</t>
  </si>
  <si>
    <t xml:space="preserve">dissolved 1992-2006</t>
  </si>
  <si>
    <t xml:space="preserve">Zambia</t>
  </si>
  <si>
    <t xml:space="preserve">18-25 years of age (17 with parental consent) for voluntary military service for men and women; no conscription; initial service of 7 years followed by 5 in the Reserves (2025)</t>
  </si>
  <si>
    <t xml:space="preserve">Zimbabwe</t>
  </si>
  <si>
    <t xml:space="preserve">18-22 years of age for voluntary military service for men and women (enlisted personnel); 18-24 for officer cadets; 18-30 for technical/specialist personnel; no conscription (2025)</t>
  </si>
  <si>
    <t xml:space="preserve">Variant A vs variant B: recoded conflict between Russia and Ukraine</t>
  </si>
  <si>
    <t xml:space="preserve">Variant B reclassifies UCDP conflicts 13246, 13247 and 13306 (2014-2022) from internationalised intrastate to interstate and treats both parties as primary parties. No other conflict is recoded. The country_profile sheet reports variant A throughout; only years_interstate_alt carries variant B.</t>
  </si>
  <si>
    <t xml:space="preserve">Indicator</t>
  </si>
  <si>
    <t xml:space="preserve">Ukraine, variant A</t>
  </si>
  <si>
    <t xml:space="preserve">Ukraine, variant B</t>
  </si>
  <si>
    <t xml:space="preserve">Russia / USSR, variant A</t>
  </si>
  <si>
    <t xml:space="preserve">Russia / USSR, variant B</t>
  </si>
  <si>
    <t xml:space="preserve">role in conflicts 13246 / 13247 / 13306</t>
  </si>
  <si>
    <t xml:space="preserve">supporting party</t>
  </si>
  <si>
    <t xml:space="preserve">conflicts as primary party</t>
  </si>
  <si>
    <t xml:space="preserve">years as primary party</t>
  </si>
  <si>
    <t xml:space="preserve">years of interstate conflict</t>
  </si>
  <si>
    <t xml:space="preserve">years of internationalised intrastate conflict</t>
  </si>
  <si>
    <t xml:space="preserve">years of purely intrastate conflict</t>
  </si>
  <si>
    <t xml:space="preserve">years on own territory, defensive</t>
  </si>
  <si>
    <t xml:space="preserve">years abroad</t>
  </si>
  <si>
    <t xml:space="preserve">conflicts in a supporting role</t>
  </si>
  <si>
    <t xml:space="preserve">Note: the recoding is confined to this single conflict. The same coding logic — an interstate conflict fought through a locally constituted party is recorded as intrastate, with the sponsoring state demoted to a supporting party — also applies to other cases in the source, which are left unchanged.</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</si>
</sst>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sz val="11"/>
      <name val="Times New Roman"/>
      <family val="0"/>
      <charset val="1"/>
    </font>
    <font>
      <b val="true"/>
      <u val="single"/>
      <sz val="12"/>
      <name val="Times New Roman"/>
      <family val="0"/>
      <charset val="1"/>
    </font>
    <font>
      <b val="true"/>
      <u val="single"/>
      <sz val="11"/>
      <name val="Times New Roman"/>
      <family val="0"/>
      <charset val="1"/>
    </font>
    <font>
      <b val="true"/>
      <u val="single"/>
      <sz val="11"/>
      <color theme="1"/>
      <name val="Calibri"/>
      <family val="2"/>
      <charset val="1"/>
    </font>
    <font>
      <sz val="11"/>
      <name val="Calibri"/>
      <family val="2"/>
      <charset val="1"/>
    </font>
    <font>
      <b val="true"/>
      <sz val="11"/>
      <color rgb="FFFFFFFF"/>
      <name val="Times New Roman"/>
      <family val="0"/>
      <charset val="1"/>
    </font>
    <font>
      <i val="true"/>
      <sz val="11"/>
      <color rgb="FF808080"/>
      <name val="Times New Roman"/>
      <family val="0"/>
      <charset val="1"/>
    </font>
    <font>
      <b val="true"/>
      <sz val="13"/>
      <name val="Times New Roman"/>
      <family val="0"/>
      <charset val="1"/>
    </font>
  </fonts>
  <fills count="10">
    <fill>
      <patternFill patternType="none"/>
    </fill>
    <fill>
      <patternFill patternType="gray125"/>
    </fill>
    <fill>
      <patternFill patternType="solid">
        <fgColor rgb="FF1F3864"/>
        <bgColor rgb="FF55308D"/>
      </patternFill>
    </fill>
    <fill>
      <patternFill patternType="solid">
        <fgColor rgb="FFD9E2F3"/>
        <bgColor rgb="FFE2EFDA"/>
      </patternFill>
    </fill>
    <fill>
      <patternFill patternType="solid">
        <fgColor rgb="FF00A933"/>
        <bgColor rgb="FF008000"/>
      </patternFill>
    </fill>
    <fill>
      <patternFill patternType="solid">
        <fgColor rgb="FF375623"/>
        <bgColor rgb="FF333300"/>
      </patternFill>
    </fill>
    <fill>
      <patternFill patternType="solid">
        <fgColor rgb="FFFF0000"/>
        <bgColor rgb="FF993300"/>
      </patternFill>
    </fill>
    <fill>
      <patternFill patternType="solid">
        <fgColor rgb="FF7F6000"/>
        <bgColor rgb="FF993300"/>
      </patternFill>
    </fill>
    <fill>
      <patternFill patternType="solid">
        <fgColor rgb="FF55308D"/>
        <bgColor rgb="FF1F3864"/>
      </patternFill>
    </fill>
    <fill>
      <patternFill patternType="solid">
        <fgColor rgb="FFE2EFDA"/>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2" borderId="0" xfId="0" applyFont="true" applyBorder="false" applyAlignment="true" applyProtection="true">
      <alignment horizontal="general" vertical="top" textRotation="0" wrapText="true" indent="0" shrinkToFit="false"/>
      <protection locked="true" hidden="false"/>
    </xf>
    <xf numFmtId="164" fontId="4" fillId="3"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4" fillId="2" borderId="0" xfId="0" applyFont="true" applyBorder="false" applyAlignment="true" applyProtection="true">
      <alignment horizontal="general" vertical="top" textRotation="0" wrapText="false" indent="0" shrinkToFit="false"/>
      <protection locked="true" hidden="false"/>
    </xf>
    <xf numFmtId="164" fontId="6" fillId="3"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center" textRotation="0" wrapText="true" indent="0" shrinkToFit="false"/>
      <protection locked="true" hidden="false"/>
    </xf>
    <xf numFmtId="164" fontId="9" fillId="2" borderId="0" xfId="0" applyFont="true" applyBorder="false" applyAlignment="true" applyProtection="true">
      <alignment horizontal="general" vertical="center" textRotation="0" wrapText="true" indent="0" shrinkToFit="false"/>
      <protection locked="true" hidden="false"/>
    </xf>
    <xf numFmtId="164" fontId="9" fillId="5" borderId="0" xfId="0" applyFont="true" applyBorder="false" applyAlignment="true" applyProtection="true">
      <alignment horizontal="general" vertical="center" textRotation="0" wrapText="true" indent="0" shrinkToFit="false"/>
      <protection locked="true" hidden="false"/>
    </xf>
    <xf numFmtId="164" fontId="9" fillId="6" borderId="0" xfId="0" applyFont="true" applyBorder="false" applyAlignment="true" applyProtection="true">
      <alignment horizontal="general" vertical="center" textRotation="0" wrapText="true" indent="0" shrinkToFit="false"/>
      <protection locked="true" hidden="false"/>
    </xf>
    <xf numFmtId="164" fontId="9" fillId="7" borderId="0" xfId="0" applyFont="true" applyBorder="false" applyAlignment="true" applyProtection="true">
      <alignment horizontal="general" vertical="center" textRotation="0" wrapText="tru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5"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9" borderId="1"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0A933"/>
          <bgColor rgb="FF000000"/>
        </patternFill>
      </fill>
    </dxf>
    <dxf>
      <fill>
        <patternFill patternType="solid">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375623"/>
          <bgColor rgb="FF000000"/>
        </patternFill>
      </fill>
    </dxf>
    <dxf>
      <fill>
        <patternFill patternType="solid">
          <fgColor rgb="FFFF0000"/>
          <bgColor rgb="FF000000"/>
        </patternFill>
      </fill>
    </dxf>
    <dxf>
      <fill>
        <patternFill patternType="solid">
          <fgColor rgb="FF808080"/>
          <bgColor rgb="FF000000"/>
        </patternFill>
      </fill>
    </dxf>
    <dxf>
      <fill>
        <patternFill patternType="solid">
          <fgColor rgb="FFE2EFDA"/>
          <bgColor rgb="FF000000"/>
        </patternFill>
      </fill>
    </dxf>
    <dxf>
      <fill>
        <patternFill patternType="solid">
          <fgColor rgb="FF7F6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00A933"/>
      <rgbColor rgb="FF003300"/>
      <rgbColor rgb="FF333300"/>
      <rgbColor rgb="FF993300"/>
      <rgbColor rgb="FF993366"/>
      <rgbColor rgb="FF55308D"/>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3"/>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C29" activeCellId="0" sqref="C29"/>
    </sheetView>
  </sheetViews>
  <sheetFormatPr defaultColWidth="8.69921875" defaultRowHeight="15" zeroHeight="false" outlineLevelRow="0" outlineLevelCol="0"/>
  <cols>
    <col collapsed="false" customWidth="true" hidden="false" outlineLevel="0" max="1" min="1" style="1" width="34"/>
    <col collapsed="false" customWidth="true" hidden="false" outlineLevel="0" max="2" min="2" style="1" width="62"/>
    <col collapsed="false" customWidth="true" hidden="false" outlineLevel="0" max="3" min="3" style="1" width="34"/>
    <col collapsed="false" customWidth="true" hidden="false" outlineLevel="0" max="4" min="4" style="1" width="30"/>
  </cols>
  <sheetData>
    <row r="1" customFormat="false" ht="15" hidden="false" customHeight="true" outlineLevel="0" collapsed="false">
      <c r="A1" s="2" t="s">
        <v>0</v>
      </c>
      <c r="B1" s="2"/>
      <c r="C1" s="2"/>
      <c r="D1" s="2"/>
    </row>
    <row r="2" customFormat="false" ht="36.75" hidden="false" customHeight="true" outlineLevel="0" collapsed="false">
      <c r="A2" s="2" t="s">
        <v>1</v>
      </c>
      <c r="B2" s="2"/>
      <c r="C2" s="2"/>
      <c r="D2" s="2"/>
    </row>
    <row r="3" customFormat="false" ht="15" hidden="false" customHeight="true" outlineLevel="0" collapsed="false">
      <c r="A3" s="2"/>
      <c r="B3" s="2"/>
      <c r="C3" s="2"/>
      <c r="D3" s="2"/>
    </row>
    <row r="4" customFormat="false" ht="24.75" hidden="false" customHeight="true" outlineLevel="0" collapsed="false">
      <c r="A4" s="3" t="s">
        <v>2</v>
      </c>
      <c r="B4" s="3"/>
      <c r="C4" s="3"/>
      <c r="D4" s="3"/>
    </row>
    <row r="5" customFormat="false" ht="15" hidden="false" customHeight="true" outlineLevel="0" collapsed="false">
      <c r="A5" s="4" t="s">
        <v>3</v>
      </c>
      <c r="B5" s="4" t="s">
        <v>4</v>
      </c>
      <c r="C5" s="4" t="s">
        <v>5</v>
      </c>
      <c r="D5" s="4"/>
    </row>
    <row r="6" customFormat="false" ht="48.75" hidden="false" customHeight="true" outlineLevel="0" collapsed="false">
      <c r="A6" s="2" t="s">
        <v>6</v>
      </c>
      <c r="B6" s="2" t="s">
        <v>7</v>
      </c>
      <c r="C6" s="2" t="s">
        <v>8</v>
      </c>
      <c r="D6" s="2"/>
    </row>
    <row r="7" customFormat="false" ht="72.75" hidden="false" customHeight="true" outlineLevel="0" collapsed="false">
      <c r="A7" s="2" t="s">
        <v>9</v>
      </c>
      <c r="B7" s="2" t="s">
        <v>10</v>
      </c>
      <c r="C7" s="2" t="s">
        <v>11</v>
      </c>
      <c r="D7" s="2"/>
    </row>
    <row r="8" customFormat="false" ht="36.75" hidden="false" customHeight="true" outlineLevel="0" collapsed="false">
      <c r="A8" s="2" t="s">
        <v>12</v>
      </c>
      <c r="B8" s="2" t="s">
        <v>13</v>
      </c>
      <c r="C8" s="2" t="s">
        <v>14</v>
      </c>
      <c r="D8" s="2"/>
    </row>
    <row r="9" customFormat="false" ht="72.75" hidden="false" customHeight="true" outlineLevel="0" collapsed="false">
      <c r="A9" s="2" t="s">
        <v>15</v>
      </c>
      <c r="B9" s="2" t="s">
        <v>16</v>
      </c>
      <c r="C9" s="2" t="s">
        <v>17</v>
      </c>
      <c r="D9" s="2"/>
    </row>
    <row r="10" customFormat="false" ht="15" hidden="false" customHeight="true" outlineLevel="0" collapsed="false">
      <c r="A10" s="2"/>
      <c r="B10" s="2"/>
      <c r="C10" s="2"/>
      <c r="D10" s="2"/>
    </row>
    <row r="11" customFormat="false" ht="15" hidden="false" customHeight="true" outlineLevel="0" collapsed="false">
      <c r="A11" s="3" t="s">
        <v>18</v>
      </c>
      <c r="B11" s="3"/>
      <c r="C11" s="3"/>
      <c r="D11" s="3"/>
    </row>
    <row r="12" customFormat="false" ht="15" hidden="false" customHeight="true" outlineLevel="0" collapsed="false">
      <c r="A12" s="4" t="s">
        <v>19</v>
      </c>
      <c r="B12" s="4" t="s">
        <v>20</v>
      </c>
      <c r="C12" s="4" t="s">
        <v>21</v>
      </c>
      <c r="D12" s="4"/>
    </row>
    <row r="13" customFormat="false" ht="24.75" hidden="false" customHeight="true" outlineLevel="0" collapsed="false">
      <c r="A13" s="2" t="s">
        <v>22</v>
      </c>
      <c r="B13" s="2" t="s">
        <v>23</v>
      </c>
      <c r="C13" s="2" t="s">
        <v>24</v>
      </c>
      <c r="D13" s="2"/>
    </row>
    <row r="14" customFormat="false" ht="60.75" hidden="false" customHeight="true" outlineLevel="0" collapsed="false">
      <c r="A14" s="2" t="s">
        <v>25</v>
      </c>
      <c r="B14" s="2" t="s">
        <v>26</v>
      </c>
      <c r="C14" s="2" t="s">
        <v>27</v>
      </c>
      <c r="D14" s="2"/>
    </row>
    <row r="15" customFormat="false" ht="15" hidden="false" customHeight="true" outlineLevel="0" collapsed="false">
      <c r="A15" s="2" t="s">
        <v>28</v>
      </c>
      <c r="B15" s="2" t="s">
        <v>29</v>
      </c>
      <c r="C15" s="2" t="s">
        <v>30</v>
      </c>
      <c r="D15" s="2"/>
    </row>
    <row r="16" customFormat="false" ht="48.75" hidden="false" customHeight="true" outlineLevel="0" collapsed="false">
      <c r="A16" s="2" t="s">
        <v>31</v>
      </c>
      <c r="B16" s="2" t="s">
        <v>32</v>
      </c>
      <c r="C16" s="2" t="s">
        <v>33</v>
      </c>
      <c r="D16" s="2"/>
    </row>
    <row r="17" customFormat="false" ht="72.75" hidden="false" customHeight="true" outlineLevel="0" collapsed="false">
      <c r="A17" s="2" t="s">
        <v>34</v>
      </c>
      <c r="B17" s="2" t="s">
        <v>35</v>
      </c>
      <c r="C17" s="2" t="s">
        <v>36</v>
      </c>
      <c r="D17" s="2"/>
    </row>
    <row r="18" customFormat="false" ht="24.75" hidden="false" customHeight="true" outlineLevel="0" collapsed="false">
      <c r="A18" s="2" t="s">
        <v>37</v>
      </c>
      <c r="B18" s="2" t="s">
        <v>38</v>
      </c>
      <c r="C18" s="2" t="s">
        <v>39</v>
      </c>
      <c r="D18" s="2"/>
    </row>
    <row r="19" customFormat="false" ht="36.75" hidden="false" customHeight="true" outlineLevel="0" collapsed="false">
      <c r="A19" s="2" t="s">
        <v>40</v>
      </c>
      <c r="B19" s="2" t="s">
        <v>41</v>
      </c>
      <c r="C19" s="2" t="s">
        <v>42</v>
      </c>
      <c r="D19" s="2"/>
    </row>
    <row r="20" customFormat="false" ht="48.75" hidden="false" customHeight="true" outlineLevel="0" collapsed="false">
      <c r="A20" s="2" t="s">
        <v>43</v>
      </c>
      <c r="B20" s="2" t="s">
        <v>44</v>
      </c>
      <c r="C20" s="2" t="s">
        <v>45</v>
      </c>
      <c r="D20" s="2"/>
    </row>
    <row r="21" customFormat="false" ht="15" hidden="false" customHeight="true" outlineLevel="0" collapsed="false">
      <c r="A21" s="2"/>
      <c r="B21" s="2"/>
      <c r="C21" s="2"/>
      <c r="D21" s="2"/>
    </row>
    <row r="22" customFormat="false" ht="15" hidden="false" customHeight="true" outlineLevel="0" collapsed="false">
      <c r="A22" s="3" t="s">
        <v>46</v>
      </c>
      <c r="B22" s="3"/>
      <c r="C22" s="3"/>
      <c r="D22" s="3"/>
    </row>
    <row r="23" customFormat="false" ht="15" hidden="false" customHeight="true" outlineLevel="0" collapsed="false">
      <c r="A23" s="4" t="s">
        <v>47</v>
      </c>
      <c r="B23" s="4" t="s">
        <v>48</v>
      </c>
      <c r="C23" s="4" t="s">
        <v>49</v>
      </c>
      <c r="D23" s="4" t="s">
        <v>50</v>
      </c>
    </row>
    <row r="24" customFormat="false" ht="15" hidden="false" customHeight="true" outlineLevel="0" collapsed="false">
      <c r="A24" s="2" t="s">
        <v>51</v>
      </c>
      <c r="B24" s="2" t="s">
        <v>52</v>
      </c>
      <c r="C24" s="2" t="s">
        <v>53</v>
      </c>
      <c r="D24" s="2" t="s">
        <v>54</v>
      </c>
    </row>
    <row r="25" customFormat="false" ht="15" hidden="false" customHeight="true" outlineLevel="0" collapsed="false">
      <c r="A25" s="2" t="s">
        <v>55</v>
      </c>
      <c r="B25" s="2" t="s">
        <v>56</v>
      </c>
      <c r="C25" s="2" t="s">
        <v>53</v>
      </c>
      <c r="D25" s="2" t="s">
        <v>57</v>
      </c>
    </row>
    <row r="26" customFormat="false" ht="15" hidden="false" customHeight="true" outlineLevel="0" collapsed="false">
      <c r="A26" s="2" t="s">
        <v>58</v>
      </c>
      <c r="B26" s="2" t="s">
        <v>59</v>
      </c>
      <c r="C26" s="2" t="s">
        <v>60</v>
      </c>
      <c r="D26" s="2" t="s">
        <v>57</v>
      </c>
    </row>
    <row r="27" customFormat="false" ht="15" hidden="false" customHeight="true" outlineLevel="0" collapsed="false">
      <c r="A27" s="2" t="s">
        <v>61</v>
      </c>
      <c r="B27" s="2" t="s">
        <v>62</v>
      </c>
      <c r="C27" s="2" t="s">
        <v>60</v>
      </c>
      <c r="D27" s="2" t="s">
        <v>63</v>
      </c>
    </row>
    <row r="28" customFormat="false" ht="15" hidden="false" customHeight="true" outlineLevel="0" collapsed="false">
      <c r="A28" s="2" t="s">
        <v>64</v>
      </c>
      <c r="B28" s="2" t="s">
        <v>65</v>
      </c>
      <c r="C28" s="2" t="s">
        <v>66</v>
      </c>
      <c r="D28" s="2" t="s">
        <v>67</v>
      </c>
    </row>
    <row r="29" customFormat="false" ht="15" hidden="false" customHeight="true" outlineLevel="0" collapsed="false">
      <c r="A29" s="2" t="s">
        <v>68</v>
      </c>
      <c r="B29" s="2" t="s">
        <v>69</v>
      </c>
      <c r="C29" s="2" t="s">
        <v>70</v>
      </c>
      <c r="D29" s="2" t="s">
        <v>71</v>
      </c>
    </row>
    <row r="30" customFormat="false" ht="24.75" hidden="false" customHeight="true" outlineLevel="0" collapsed="false">
      <c r="A30" s="2" t="s">
        <v>72</v>
      </c>
      <c r="B30" s="2" t="s">
        <v>73</v>
      </c>
      <c r="C30" s="2" t="s">
        <v>74</v>
      </c>
      <c r="D30" s="2" t="s">
        <v>54</v>
      </c>
    </row>
    <row r="31" customFormat="false" ht="15" hidden="false" customHeight="true" outlineLevel="0" collapsed="false">
      <c r="A31" s="2" t="s">
        <v>75</v>
      </c>
      <c r="B31" s="2" t="s">
        <v>76</v>
      </c>
      <c r="C31" s="2" t="s">
        <v>77</v>
      </c>
      <c r="D31" s="2" t="s">
        <v>71</v>
      </c>
    </row>
    <row r="32" customFormat="false" ht="15" hidden="false" customHeight="true" outlineLevel="0" collapsed="false">
      <c r="A32" s="2" t="s">
        <v>78</v>
      </c>
      <c r="B32" s="2" t="s">
        <v>79</v>
      </c>
      <c r="C32" s="2" t="s">
        <v>70</v>
      </c>
      <c r="D32" s="2" t="s">
        <v>71</v>
      </c>
    </row>
    <row r="33" customFormat="false" ht="15" hidden="false" customHeight="true" outlineLevel="0" collapsed="false">
      <c r="A33" s="2" t="s">
        <v>80</v>
      </c>
      <c r="B33" s="2" t="s">
        <v>81</v>
      </c>
      <c r="C33" s="2" t="s">
        <v>82</v>
      </c>
      <c r="D33" s="2" t="s">
        <v>83</v>
      </c>
    </row>
    <row r="34" customFormat="false" ht="15" hidden="false" customHeight="true" outlineLevel="0" collapsed="false">
      <c r="A34" s="2" t="s">
        <v>84</v>
      </c>
      <c r="B34" s="2" t="s">
        <v>85</v>
      </c>
      <c r="C34" s="2" t="s">
        <v>70</v>
      </c>
      <c r="D34" s="2" t="s">
        <v>71</v>
      </c>
    </row>
    <row r="35" customFormat="false" ht="24.75" hidden="false" customHeight="true" outlineLevel="0" collapsed="false">
      <c r="A35" s="2" t="s">
        <v>86</v>
      </c>
      <c r="B35" s="2" t="s">
        <v>87</v>
      </c>
      <c r="C35" s="2" t="s">
        <v>77</v>
      </c>
      <c r="D35" s="2" t="s">
        <v>71</v>
      </c>
    </row>
    <row r="36" customFormat="false" ht="24.75" hidden="false" customHeight="true" outlineLevel="0" collapsed="false">
      <c r="A36" s="2" t="s">
        <v>88</v>
      </c>
      <c r="B36" s="2" t="s">
        <v>89</v>
      </c>
      <c r="C36" s="2" t="s">
        <v>70</v>
      </c>
      <c r="D36" s="2" t="s">
        <v>71</v>
      </c>
    </row>
    <row r="37" customFormat="false" ht="15" hidden="false" customHeight="true" outlineLevel="0" collapsed="false">
      <c r="A37" s="2" t="s">
        <v>90</v>
      </c>
      <c r="B37" s="2" t="s">
        <v>91</v>
      </c>
      <c r="C37" s="2" t="s">
        <v>82</v>
      </c>
      <c r="D37" s="2" t="s">
        <v>83</v>
      </c>
    </row>
    <row r="38" customFormat="false" ht="15" hidden="false" customHeight="true" outlineLevel="0" collapsed="false">
      <c r="A38" s="2" t="s">
        <v>92</v>
      </c>
      <c r="B38" s="2" t="s">
        <v>93</v>
      </c>
      <c r="C38" s="2" t="s">
        <v>70</v>
      </c>
      <c r="D38" s="2" t="s">
        <v>94</v>
      </c>
    </row>
    <row r="39" customFormat="false" ht="15" hidden="false" customHeight="true" outlineLevel="0" collapsed="false">
      <c r="A39" s="2" t="s">
        <v>95</v>
      </c>
      <c r="B39" s="2" t="s">
        <v>96</v>
      </c>
      <c r="C39" s="2" t="s">
        <v>97</v>
      </c>
      <c r="D39" s="2" t="s">
        <v>98</v>
      </c>
    </row>
    <row r="40" customFormat="false" ht="24.75" hidden="false" customHeight="true" outlineLevel="0" collapsed="false">
      <c r="A40" s="2" t="s">
        <v>99</v>
      </c>
      <c r="B40" s="2" t="s">
        <v>100</v>
      </c>
      <c r="C40" s="2" t="s">
        <v>77</v>
      </c>
      <c r="D40" s="2" t="s">
        <v>98</v>
      </c>
    </row>
    <row r="41" customFormat="false" ht="15" hidden="false" customHeight="true" outlineLevel="0" collapsed="false">
      <c r="A41" s="2" t="s">
        <v>101</v>
      </c>
      <c r="B41" s="2" t="s">
        <v>102</v>
      </c>
      <c r="C41" s="2" t="s">
        <v>60</v>
      </c>
      <c r="D41" s="2" t="s">
        <v>67</v>
      </c>
    </row>
    <row r="42" customFormat="false" ht="15" hidden="false" customHeight="true" outlineLevel="0" collapsed="false">
      <c r="A42" s="2" t="s">
        <v>103</v>
      </c>
      <c r="B42" s="2" t="s">
        <v>104</v>
      </c>
      <c r="C42" s="2" t="s">
        <v>60</v>
      </c>
      <c r="D42" s="2" t="s">
        <v>67</v>
      </c>
    </row>
    <row r="43" customFormat="false" ht="15" hidden="false" customHeight="true" outlineLevel="0" collapsed="false">
      <c r="A43" s="2" t="s">
        <v>105</v>
      </c>
      <c r="B43" s="2" t="s">
        <v>106</v>
      </c>
      <c r="C43" s="2" t="s">
        <v>60</v>
      </c>
      <c r="D43" s="2" t="s">
        <v>67</v>
      </c>
    </row>
    <row r="44" customFormat="false" ht="15" hidden="false" customHeight="true" outlineLevel="0" collapsed="false">
      <c r="A44" s="2" t="s">
        <v>107</v>
      </c>
      <c r="B44" s="2" t="s">
        <v>108</v>
      </c>
      <c r="C44" s="2" t="s">
        <v>60</v>
      </c>
      <c r="D44" s="2" t="s">
        <v>67</v>
      </c>
    </row>
    <row r="45" customFormat="false" ht="15" hidden="false" customHeight="true" outlineLevel="0" collapsed="false">
      <c r="A45" s="2" t="s">
        <v>109</v>
      </c>
      <c r="B45" s="2" t="s">
        <v>110</v>
      </c>
      <c r="C45" s="2" t="s">
        <v>60</v>
      </c>
      <c r="D45" s="2" t="s">
        <v>83</v>
      </c>
    </row>
    <row r="46" customFormat="false" ht="15" hidden="false" customHeight="true" outlineLevel="0" collapsed="false">
      <c r="A46" s="2" t="s">
        <v>111</v>
      </c>
      <c r="B46" s="2" t="s">
        <v>112</v>
      </c>
      <c r="C46" s="2" t="s">
        <v>77</v>
      </c>
      <c r="D46" s="2" t="s">
        <v>67</v>
      </c>
    </row>
    <row r="47" customFormat="false" ht="24.75" hidden="false" customHeight="true" outlineLevel="0" collapsed="false">
      <c r="A47" s="2" t="s">
        <v>113</v>
      </c>
      <c r="B47" s="2" t="s">
        <v>114</v>
      </c>
      <c r="C47" s="2" t="s">
        <v>77</v>
      </c>
      <c r="D47" s="2" t="s">
        <v>67</v>
      </c>
    </row>
    <row r="48" customFormat="false" ht="24.75" hidden="false" customHeight="true" outlineLevel="0" collapsed="false">
      <c r="A48" s="2" t="s">
        <v>115</v>
      </c>
      <c r="B48" s="2" t="s">
        <v>116</v>
      </c>
      <c r="C48" s="2" t="s">
        <v>60</v>
      </c>
      <c r="D48" s="2" t="s">
        <v>83</v>
      </c>
    </row>
    <row r="49" customFormat="false" ht="15" hidden="false" customHeight="true" outlineLevel="0" collapsed="false">
      <c r="A49" s="2" t="s">
        <v>117</v>
      </c>
      <c r="B49" s="2" t="s">
        <v>118</v>
      </c>
      <c r="C49" s="2" t="s">
        <v>60</v>
      </c>
      <c r="D49" s="2" t="s">
        <v>67</v>
      </c>
    </row>
    <row r="50" customFormat="false" ht="15" hidden="false" customHeight="true" outlineLevel="0" collapsed="false">
      <c r="A50" s="2" t="s">
        <v>119</v>
      </c>
      <c r="B50" s="2" t="s">
        <v>120</v>
      </c>
      <c r="C50" s="2" t="s">
        <v>60</v>
      </c>
      <c r="D50" s="2" t="s">
        <v>121</v>
      </c>
    </row>
    <row r="51" customFormat="false" ht="24.75" hidden="false" customHeight="true" outlineLevel="0" collapsed="false">
      <c r="A51" s="2" t="s">
        <v>122</v>
      </c>
      <c r="B51" s="2" t="s">
        <v>123</v>
      </c>
      <c r="C51" s="2" t="s">
        <v>60</v>
      </c>
      <c r="D51" s="2" t="s">
        <v>67</v>
      </c>
    </row>
    <row r="52" customFormat="false" ht="15" hidden="false" customHeight="true" outlineLevel="0" collapsed="false">
      <c r="A52" s="2" t="s">
        <v>124</v>
      </c>
      <c r="B52" s="2" t="s">
        <v>125</v>
      </c>
      <c r="C52" s="2" t="s">
        <v>60</v>
      </c>
      <c r="D52" s="2" t="s">
        <v>67</v>
      </c>
    </row>
    <row r="53" customFormat="false" ht="24.75" hidden="false" customHeight="true" outlineLevel="0" collapsed="false">
      <c r="A53" s="2" t="s">
        <v>126</v>
      </c>
      <c r="B53" s="2" t="s">
        <v>127</v>
      </c>
      <c r="C53" s="2" t="s">
        <v>60</v>
      </c>
      <c r="D53" s="2" t="s">
        <v>67</v>
      </c>
    </row>
    <row r="54" customFormat="false" ht="15" hidden="false" customHeight="true" outlineLevel="0" collapsed="false">
      <c r="A54" s="2" t="s">
        <v>128</v>
      </c>
      <c r="B54" s="2" t="s">
        <v>129</v>
      </c>
      <c r="C54" s="2" t="s">
        <v>60</v>
      </c>
      <c r="D54" s="2" t="s">
        <v>130</v>
      </c>
    </row>
    <row r="55" customFormat="false" ht="24.75" hidden="false" customHeight="true" outlineLevel="0" collapsed="false">
      <c r="A55" s="2" t="s">
        <v>131</v>
      </c>
      <c r="B55" s="2" t="s">
        <v>132</v>
      </c>
      <c r="C55" s="2" t="s">
        <v>60</v>
      </c>
      <c r="D55" s="2" t="s">
        <v>133</v>
      </c>
    </row>
    <row r="56" customFormat="false" ht="15" hidden="false" customHeight="true" outlineLevel="0" collapsed="false">
      <c r="A56" s="2" t="s">
        <v>134</v>
      </c>
      <c r="B56" s="2" t="s">
        <v>135</v>
      </c>
      <c r="C56" s="2" t="s">
        <v>60</v>
      </c>
      <c r="D56" s="2" t="s">
        <v>83</v>
      </c>
    </row>
    <row r="57" customFormat="false" ht="15" hidden="false" customHeight="true" outlineLevel="0" collapsed="false">
      <c r="A57" s="2" t="s">
        <v>136</v>
      </c>
      <c r="B57" s="2" t="s">
        <v>137</v>
      </c>
      <c r="C57" s="2" t="s">
        <v>60</v>
      </c>
      <c r="D57" s="2" t="s">
        <v>83</v>
      </c>
    </row>
    <row r="58" customFormat="false" ht="24.75" hidden="false" customHeight="true" outlineLevel="0" collapsed="false">
      <c r="A58" s="2" t="s">
        <v>138</v>
      </c>
      <c r="B58" s="2" t="s">
        <v>139</v>
      </c>
      <c r="C58" s="2" t="s">
        <v>60</v>
      </c>
      <c r="D58" s="2" t="s">
        <v>140</v>
      </c>
    </row>
    <row r="59" customFormat="false" ht="15" hidden="false" customHeight="true" outlineLevel="0" collapsed="false">
      <c r="A59" s="5" t="s">
        <v>141</v>
      </c>
      <c r="B59" s="2" t="s">
        <v>142</v>
      </c>
      <c r="C59" s="2" t="s">
        <v>60</v>
      </c>
      <c r="D59" s="2" t="s">
        <v>83</v>
      </c>
    </row>
    <row r="60" customFormat="false" ht="15" hidden="false" customHeight="true" outlineLevel="0" collapsed="false">
      <c r="A60" s="5" t="s">
        <v>143</v>
      </c>
      <c r="B60" s="2" t="s">
        <v>144</v>
      </c>
      <c r="C60" s="2" t="s">
        <v>53</v>
      </c>
      <c r="D60" s="2" t="s">
        <v>54</v>
      </c>
    </row>
    <row r="61" customFormat="false" ht="15" hidden="false" customHeight="true" outlineLevel="0" collapsed="false">
      <c r="A61" s="2" t="s">
        <v>145</v>
      </c>
      <c r="B61" s="2" t="s">
        <v>146</v>
      </c>
      <c r="C61" s="2" t="s">
        <v>147</v>
      </c>
      <c r="D61" s="2" t="s">
        <v>83</v>
      </c>
    </row>
    <row r="62" customFormat="false" ht="15" hidden="false" customHeight="true" outlineLevel="0" collapsed="false">
      <c r="A62" s="2" t="s">
        <v>148</v>
      </c>
      <c r="B62" s="2" t="s">
        <v>149</v>
      </c>
      <c r="C62" s="2" t="s">
        <v>150</v>
      </c>
      <c r="D62" s="2" t="s">
        <v>94</v>
      </c>
    </row>
    <row r="63" customFormat="false" ht="15" hidden="false" customHeight="true" outlineLevel="0" collapsed="false">
      <c r="A63" s="2" t="s">
        <v>151</v>
      </c>
      <c r="B63" s="2" t="s">
        <v>152</v>
      </c>
      <c r="C63" s="2" t="s">
        <v>153</v>
      </c>
      <c r="D63" s="2" t="s">
        <v>94</v>
      </c>
    </row>
    <row r="64" customFormat="false" ht="15" hidden="false" customHeight="true" outlineLevel="0" collapsed="false">
      <c r="A64" s="2" t="s">
        <v>154</v>
      </c>
      <c r="B64" s="2" t="s">
        <v>155</v>
      </c>
      <c r="C64" s="2" t="s">
        <v>53</v>
      </c>
      <c r="D64" s="2" t="s">
        <v>94</v>
      </c>
    </row>
    <row r="65" customFormat="false" ht="15" hidden="false" customHeight="true" outlineLevel="0" collapsed="false">
      <c r="A65" s="5" t="s">
        <v>156</v>
      </c>
      <c r="B65" s="2" t="s">
        <v>157</v>
      </c>
      <c r="C65" s="2" t="s">
        <v>70</v>
      </c>
      <c r="D65" s="2" t="s">
        <v>158</v>
      </c>
    </row>
    <row r="66" customFormat="false" ht="15" hidden="false" customHeight="true" outlineLevel="0" collapsed="false">
      <c r="A66" s="5" t="s">
        <v>159</v>
      </c>
      <c r="B66" s="2" t="s">
        <v>160</v>
      </c>
      <c r="C66" s="2" t="s">
        <v>53</v>
      </c>
      <c r="D66" s="2" t="s">
        <v>94</v>
      </c>
    </row>
    <row r="67" customFormat="false" ht="15" hidden="false" customHeight="true" outlineLevel="0" collapsed="false">
      <c r="A67" s="5" t="s">
        <v>161</v>
      </c>
      <c r="B67" s="2" t="s">
        <v>162</v>
      </c>
      <c r="C67" s="2" t="s">
        <v>53</v>
      </c>
      <c r="D67" s="2" t="s">
        <v>54</v>
      </c>
    </row>
    <row r="68" customFormat="false" ht="15" hidden="false" customHeight="true" outlineLevel="0" collapsed="false">
      <c r="A68" s="5" t="s">
        <v>163</v>
      </c>
      <c r="B68" s="2" t="s">
        <v>164</v>
      </c>
      <c r="C68" s="2" t="s">
        <v>53</v>
      </c>
      <c r="D68" s="2" t="s">
        <v>83</v>
      </c>
    </row>
    <row r="69" customFormat="false" ht="15" hidden="false" customHeight="true" outlineLevel="0" collapsed="false">
      <c r="A69" s="2" t="s">
        <v>165</v>
      </c>
      <c r="B69" s="2" t="s">
        <v>166</v>
      </c>
      <c r="C69" s="2" t="s">
        <v>60</v>
      </c>
      <c r="D69" s="2" t="s">
        <v>67</v>
      </c>
    </row>
    <row r="70" customFormat="false" ht="15" hidden="false" customHeight="true" outlineLevel="0" collapsed="false">
      <c r="A70" s="2" t="s">
        <v>167</v>
      </c>
      <c r="B70" s="2" t="s">
        <v>168</v>
      </c>
      <c r="C70" s="2" t="s">
        <v>60</v>
      </c>
      <c r="D70" s="2" t="s">
        <v>67</v>
      </c>
    </row>
    <row r="71" customFormat="false" ht="15" hidden="false" customHeight="true" outlineLevel="0" collapsed="false">
      <c r="A71" s="2" t="s">
        <v>169</v>
      </c>
      <c r="B71" s="2" t="s">
        <v>170</v>
      </c>
      <c r="C71" s="2" t="s">
        <v>77</v>
      </c>
      <c r="D71" s="2" t="s">
        <v>67</v>
      </c>
    </row>
    <row r="72" customFormat="false" ht="24.75" hidden="false" customHeight="true" outlineLevel="0" collapsed="false">
      <c r="A72" s="2" t="s">
        <v>171</v>
      </c>
      <c r="B72" s="2" t="s">
        <v>172</v>
      </c>
      <c r="C72" s="2" t="s">
        <v>77</v>
      </c>
      <c r="D72" s="2" t="s">
        <v>67</v>
      </c>
    </row>
    <row r="73" customFormat="false" ht="48.75" hidden="false" customHeight="true" outlineLevel="0" collapsed="false">
      <c r="A73" s="2" t="s">
        <v>173</v>
      </c>
      <c r="B73" s="2" t="s">
        <v>174</v>
      </c>
      <c r="C73" s="2" t="s">
        <v>60</v>
      </c>
      <c r="D73" s="2" t="s">
        <v>67</v>
      </c>
    </row>
    <row r="74" customFormat="false" ht="24.75" hidden="false" customHeight="true" outlineLevel="0" collapsed="false">
      <c r="A74" s="2" t="s">
        <v>175</v>
      </c>
      <c r="B74" s="2" t="s">
        <v>176</v>
      </c>
      <c r="C74" s="2" t="s">
        <v>177</v>
      </c>
      <c r="D74" s="2" t="s">
        <v>67</v>
      </c>
    </row>
    <row r="75" customFormat="false" ht="48.75" hidden="false" customHeight="true" outlineLevel="0" collapsed="false">
      <c r="A75" s="2" t="s">
        <v>178</v>
      </c>
      <c r="B75" s="2" t="s">
        <v>179</v>
      </c>
      <c r="C75" s="2" t="s">
        <v>180</v>
      </c>
      <c r="D75" s="2" t="s">
        <v>71</v>
      </c>
    </row>
    <row r="76" customFormat="false" ht="15" hidden="false" customHeight="true" outlineLevel="0" collapsed="false">
      <c r="A76" s="2" t="s">
        <v>181</v>
      </c>
      <c r="B76" s="2" t="s">
        <v>182</v>
      </c>
      <c r="C76" s="2" t="s">
        <v>183</v>
      </c>
      <c r="D76" s="2" t="s">
        <v>98</v>
      </c>
    </row>
    <row r="77" customFormat="false" ht="48.75" hidden="false" customHeight="true" outlineLevel="0" collapsed="false">
      <c r="A77" s="2" t="s">
        <v>184</v>
      </c>
      <c r="B77" s="2" t="s">
        <v>185</v>
      </c>
      <c r="C77" s="2" t="s">
        <v>77</v>
      </c>
      <c r="D77" s="2" t="s">
        <v>94</v>
      </c>
    </row>
    <row r="78" customFormat="false" ht="15" hidden="false" customHeight="true" outlineLevel="0" collapsed="false">
      <c r="A78" s="2"/>
      <c r="B78" s="2"/>
      <c r="C78" s="2"/>
      <c r="D78" s="2"/>
    </row>
    <row r="79" customFormat="false" ht="24.75" hidden="false" customHeight="true" outlineLevel="0" collapsed="false">
      <c r="A79" s="3" t="s">
        <v>186</v>
      </c>
      <c r="B79" s="3"/>
      <c r="C79" s="3"/>
      <c r="D79" s="3"/>
    </row>
    <row r="80" customFormat="false" ht="24.75" hidden="false" customHeight="true" outlineLevel="0" collapsed="false">
      <c r="A80" s="4" t="s">
        <v>50</v>
      </c>
      <c r="B80" s="4" t="s">
        <v>187</v>
      </c>
      <c r="C80" s="4" t="s">
        <v>188</v>
      </c>
      <c r="D80" s="4"/>
    </row>
    <row r="81" customFormat="false" ht="36.75" hidden="false" customHeight="true" outlineLevel="0" collapsed="false">
      <c r="A81" s="2" t="s">
        <v>189</v>
      </c>
      <c r="B81" s="2" t="s">
        <v>190</v>
      </c>
      <c r="C81" s="2" t="s">
        <v>191</v>
      </c>
      <c r="D81" s="2"/>
    </row>
    <row r="82" customFormat="false" ht="15" hidden="false" customHeight="true" outlineLevel="0" collapsed="false">
      <c r="A82" s="2" t="s">
        <v>192</v>
      </c>
      <c r="B82" s="2"/>
      <c r="C82" s="2"/>
      <c r="D82" s="2"/>
    </row>
    <row r="83" customFormat="false" ht="15" hidden="false" customHeight="true" outlineLevel="0" collapsed="false">
      <c r="A83" s="2" t="s">
        <v>193</v>
      </c>
      <c r="B83" s="2" t="s">
        <v>194</v>
      </c>
      <c r="C83" s="2" t="s">
        <v>195</v>
      </c>
      <c r="D83" s="2"/>
    </row>
    <row r="84" customFormat="false" ht="84.75" hidden="false" customHeight="true" outlineLevel="0" collapsed="false">
      <c r="A84" s="2" t="s">
        <v>196</v>
      </c>
      <c r="B84" s="2"/>
      <c r="C84" s="2"/>
      <c r="D84" s="2"/>
    </row>
    <row r="85" customFormat="false" ht="48.75" hidden="false" customHeight="true" outlineLevel="0" collapsed="false">
      <c r="A85" s="2" t="s">
        <v>197</v>
      </c>
      <c r="B85" s="2" t="s">
        <v>198</v>
      </c>
      <c r="C85" s="2" t="s">
        <v>199</v>
      </c>
      <c r="D85" s="2"/>
    </row>
    <row r="86" customFormat="false" ht="132.75" hidden="false" customHeight="true" outlineLevel="0" collapsed="false">
      <c r="A86" s="2" t="s">
        <v>200</v>
      </c>
      <c r="B86" s="2"/>
      <c r="C86" s="2"/>
      <c r="D86" s="2"/>
    </row>
    <row r="87" customFormat="false" ht="15" hidden="false" customHeight="true" outlineLevel="0" collapsed="false">
      <c r="A87" s="2" t="s">
        <v>201</v>
      </c>
      <c r="B87" s="2" t="s">
        <v>202</v>
      </c>
      <c r="C87" s="2" t="s">
        <v>203</v>
      </c>
      <c r="D87" s="2"/>
    </row>
    <row r="88" customFormat="false" ht="15" hidden="false" customHeight="true" outlineLevel="0" collapsed="false">
      <c r="A88" s="2" t="s">
        <v>204</v>
      </c>
      <c r="B88" s="2" t="s">
        <v>205</v>
      </c>
      <c r="C88" s="2" t="s">
        <v>206</v>
      </c>
      <c r="D88" s="2"/>
    </row>
    <row r="89" customFormat="false" ht="60.75" hidden="false" customHeight="true" outlineLevel="0" collapsed="false">
      <c r="A89" s="2" t="s">
        <v>207</v>
      </c>
      <c r="B89" s="2" t="s">
        <v>208</v>
      </c>
      <c r="C89" s="2" t="s">
        <v>209</v>
      </c>
      <c r="D89" s="2"/>
    </row>
    <row r="90" customFormat="false" ht="24.75" hidden="false" customHeight="true" outlineLevel="0" collapsed="false">
      <c r="A90" s="2" t="s">
        <v>210</v>
      </c>
      <c r="B90" s="2" t="s">
        <v>211</v>
      </c>
      <c r="C90" s="2" t="s">
        <v>212</v>
      </c>
      <c r="D90" s="2"/>
    </row>
    <row r="91" customFormat="false" ht="60.75" hidden="false" customHeight="true" outlineLevel="0" collapsed="false">
      <c r="A91" s="2"/>
      <c r="B91" s="2"/>
      <c r="C91" s="2"/>
      <c r="D91" s="2"/>
    </row>
    <row r="92" customFormat="false" ht="60.75" hidden="false" customHeight="true" outlineLevel="0" collapsed="false">
      <c r="A92" s="3" t="s">
        <v>213</v>
      </c>
      <c r="B92" s="3"/>
      <c r="C92" s="3"/>
      <c r="D92" s="3"/>
    </row>
    <row r="93" customFormat="false" ht="36.75" hidden="false" customHeight="true" outlineLevel="0" collapsed="false">
      <c r="A93" s="2" t="s">
        <v>214</v>
      </c>
      <c r="B93" s="2"/>
      <c r="C93" s="2"/>
      <c r="D93" s="2"/>
    </row>
    <row r="94" customFormat="false" ht="60.75" hidden="false" customHeight="true" outlineLevel="0" collapsed="false">
      <c r="A94" s="2" t="s">
        <v>215</v>
      </c>
      <c r="B94" s="2"/>
      <c r="C94" s="2"/>
      <c r="D94" s="2"/>
    </row>
    <row r="95" customFormat="false" ht="72.75" hidden="false" customHeight="true" outlineLevel="0" collapsed="false">
      <c r="A95" s="2" t="s">
        <v>216</v>
      </c>
      <c r="B95" s="2"/>
      <c r="C95" s="2"/>
      <c r="D95" s="2"/>
    </row>
    <row r="96" customFormat="false" ht="36.75" hidden="false" customHeight="true" outlineLevel="0" collapsed="false">
      <c r="A96" s="2"/>
      <c r="B96" s="2"/>
      <c r="C96" s="2"/>
      <c r="D96" s="2"/>
    </row>
    <row r="97" customFormat="false" ht="36.75" hidden="false" customHeight="true" outlineLevel="0" collapsed="false">
      <c r="A97" s="3" t="s">
        <v>217</v>
      </c>
      <c r="B97" s="3"/>
      <c r="C97" s="3"/>
      <c r="D97" s="3"/>
    </row>
    <row r="98" customFormat="false" ht="60.75" hidden="false" customHeight="true" outlineLevel="0" collapsed="false">
      <c r="A98" s="2" t="s">
        <v>218</v>
      </c>
      <c r="B98" s="2"/>
      <c r="C98" s="2"/>
      <c r="D98" s="2"/>
    </row>
    <row r="99" customFormat="false" ht="72.75" hidden="false" customHeight="true" outlineLevel="0" collapsed="false">
      <c r="A99" s="2" t="s">
        <v>219</v>
      </c>
      <c r="B99" s="2"/>
      <c r="C99" s="2"/>
      <c r="D99" s="2"/>
    </row>
    <row r="100" customFormat="false" ht="36.75" hidden="false" customHeight="true" outlineLevel="0" collapsed="false">
      <c r="A100" s="2" t="s">
        <v>220</v>
      </c>
      <c r="B100" s="2"/>
      <c r="C100" s="2"/>
      <c r="D100" s="2"/>
    </row>
    <row r="101" customFormat="false" ht="61.15" hidden="false" customHeight="false" outlineLevel="0" collapsed="false">
      <c r="A101" s="2" t="s">
        <v>221</v>
      </c>
      <c r="B101" s="2"/>
      <c r="C101" s="2"/>
      <c r="D101" s="2"/>
    </row>
    <row r="102" customFormat="false" ht="37.3" hidden="false" customHeight="false" outlineLevel="0" collapsed="false">
      <c r="A102" s="2" t="s">
        <v>222</v>
      </c>
      <c r="B102" s="2"/>
      <c r="C102" s="2"/>
      <c r="D102" s="2"/>
    </row>
    <row r="103" customFormat="false" ht="73.1" hidden="false" customHeight="false" outlineLevel="0" collapsed="false">
      <c r="A103" s="2"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3"/>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102" activeCellId="0" sqref="B102"/>
    </sheetView>
  </sheetViews>
  <sheetFormatPr defaultColWidth="8.69140625" defaultRowHeight="15" zeroHeight="false" outlineLevelRow="0" outlineLevelCol="0"/>
  <cols>
    <col collapsed="false" customWidth="true" hidden="false" outlineLevel="0" max="1" min="1" style="1" width="34"/>
    <col collapsed="false" customWidth="true" hidden="false" outlineLevel="0" max="2" min="2" style="1" width="62"/>
    <col collapsed="false" customWidth="true" hidden="false" outlineLevel="0" max="3" min="3" style="1" width="40"/>
    <col collapsed="false" customWidth="true" hidden="false" outlineLevel="0" max="4" min="4" style="1" width="30"/>
  </cols>
  <sheetData>
    <row r="1" customFormat="false" ht="24.75" hidden="false" customHeight="true" outlineLevel="0" collapsed="false">
      <c r="A1" s="6" t="s">
        <v>224</v>
      </c>
      <c r="B1" s="2"/>
      <c r="C1" s="2"/>
      <c r="D1" s="2"/>
    </row>
    <row r="2" customFormat="false" ht="96.75" hidden="false" customHeight="true" outlineLevel="0" collapsed="false">
      <c r="A2" s="2" t="s">
        <v>225</v>
      </c>
      <c r="B2" s="2"/>
      <c r="C2" s="2"/>
      <c r="D2" s="2"/>
    </row>
    <row r="3" customFormat="false" ht="15" hidden="false" customHeight="true" outlineLevel="0" collapsed="false">
      <c r="A3" s="2"/>
      <c r="B3" s="2"/>
      <c r="C3" s="2"/>
      <c r="D3" s="2"/>
    </row>
    <row r="4" s="1" customFormat="true" ht="23.25" hidden="false" customHeight="true" outlineLevel="0" collapsed="false">
      <c r="A4" s="7" t="s">
        <v>226</v>
      </c>
      <c r="B4" s="7"/>
      <c r="C4" s="7"/>
      <c r="D4" s="7"/>
    </row>
    <row r="5" s="9" customFormat="true" ht="15" hidden="false" customHeight="true" outlineLevel="0" collapsed="false">
      <c r="A5" s="8" t="s">
        <v>227</v>
      </c>
      <c r="B5" s="8" t="s">
        <v>228</v>
      </c>
      <c r="C5" s="8" t="s">
        <v>229</v>
      </c>
      <c r="D5" s="8"/>
    </row>
    <row r="6" customFormat="false" ht="72.75" hidden="false" customHeight="true" outlineLevel="0" collapsed="false">
      <c r="A6" s="2" t="s">
        <v>6</v>
      </c>
      <c r="B6" s="2" t="s">
        <v>230</v>
      </c>
      <c r="C6" s="2" t="s">
        <v>231</v>
      </c>
      <c r="D6" s="2"/>
    </row>
    <row r="7" customFormat="false" ht="84.75" hidden="false" customHeight="true" outlineLevel="0" collapsed="false">
      <c r="A7" s="2" t="s">
        <v>9</v>
      </c>
      <c r="B7" s="2" t="s">
        <v>232</v>
      </c>
      <c r="C7" s="2" t="s">
        <v>233</v>
      </c>
      <c r="D7" s="2"/>
    </row>
    <row r="8" customFormat="false" ht="36.75" hidden="false" customHeight="true" outlineLevel="0" collapsed="false">
      <c r="A8" s="2" t="s">
        <v>234</v>
      </c>
      <c r="B8" s="2" t="s">
        <v>235</v>
      </c>
      <c r="C8" s="2" t="s">
        <v>236</v>
      </c>
      <c r="D8" s="2"/>
    </row>
    <row r="9" customFormat="false" ht="84.75" hidden="false" customHeight="true" outlineLevel="0" collapsed="false">
      <c r="A9" s="2" t="s">
        <v>237</v>
      </c>
      <c r="B9" s="2" t="s">
        <v>238</v>
      </c>
      <c r="C9" s="2" t="s">
        <v>239</v>
      </c>
      <c r="D9" s="2"/>
    </row>
    <row r="10" customFormat="false" ht="15" hidden="false" customHeight="true" outlineLevel="0" collapsed="false">
      <c r="A10" s="2"/>
      <c r="B10" s="2"/>
      <c r="C10" s="2"/>
      <c r="D10" s="2"/>
    </row>
    <row r="11" customFormat="false" ht="15" hidden="false" customHeight="true" outlineLevel="0" collapsed="false">
      <c r="A11" s="3" t="s">
        <v>240</v>
      </c>
      <c r="B11" s="3"/>
      <c r="C11" s="3"/>
      <c r="D11" s="3"/>
    </row>
    <row r="12" s="9" customFormat="true" ht="15" hidden="false" customHeight="true" outlineLevel="0" collapsed="false">
      <c r="A12" s="8" t="s">
        <v>241</v>
      </c>
      <c r="B12" s="8" t="s">
        <v>242</v>
      </c>
      <c r="C12" s="8" t="s">
        <v>243</v>
      </c>
      <c r="D12" s="8"/>
    </row>
    <row r="13" customFormat="false" ht="24.75" hidden="false" customHeight="true" outlineLevel="0" collapsed="false">
      <c r="A13" s="2" t="s">
        <v>244</v>
      </c>
      <c r="B13" s="2" t="s">
        <v>245</v>
      </c>
      <c r="C13" s="2" t="s">
        <v>24</v>
      </c>
      <c r="D13" s="2"/>
    </row>
    <row r="14" customFormat="false" ht="108.75" hidden="false" customHeight="true" outlineLevel="0" collapsed="false">
      <c r="A14" s="2" t="s">
        <v>246</v>
      </c>
      <c r="B14" s="2" t="s">
        <v>247</v>
      </c>
      <c r="C14" s="2" t="s">
        <v>27</v>
      </c>
      <c r="D14" s="2"/>
    </row>
    <row r="15" customFormat="false" ht="15" hidden="false" customHeight="true" outlineLevel="0" collapsed="false">
      <c r="A15" s="2" t="s">
        <v>248</v>
      </c>
      <c r="B15" s="2" t="s">
        <v>249</v>
      </c>
      <c r="C15" s="2" t="s">
        <v>30</v>
      </c>
      <c r="D15" s="2"/>
    </row>
    <row r="16" customFormat="false" ht="48.75" hidden="false" customHeight="true" outlineLevel="0" collapsed="false">
      <c r="A16" s="2" t="s">
        <v>250</v>
      </c>
      <c r="B16" s="2" t="s">
        <v>251</v>
      </c>
      <c r="C16" s="2" t="s">
        <v>33</v>
      </c>
      <c r="D16" s="2"/>
    </row>
    <row r="17" customFormat="false" ht="72.75" hidden="false" customHeight="true" outlineLevel="0" collapsed="false">
      <c r="A17" s="2" t="s">
        <v>252</v>
      </c>
      <c r="B17" s="2" t="s">
        <v>253</v>
      </c>
      <c r="C17" s="2" t="s">
        <v>36</v>
      </c>
      <c r="D17" s="2"/>
    </row>
    <row r="18" customFormat="false" ht="24.75" hidden="false" customHeight="true" outlineLevel="0" collapsed="false">
      <c r="A18" s="2" t="s">
        <v>254</v>
      </c>
      <c r="B18" s="2" t="s">
        <v>255</v>
      </c>
      <c r="C18" s="2" t="s">
        <v>39</v>
      </c>
      <c r="D18" s="2"/>
    </row>
    <row r="19" customFormat="false" ht="36.75" hidden="false" customHeight="true" outlineLevel="0" collapsed="false">
      <c r="A19" s="2" t="s">
        <v>256</v>
      </c>
      <c r="B19" s="2" t="s">
        <v>257</v>
      </c>
      <c r="C19" s="2" t="s">
        <v>42</v>
      </c>
      <c r="D19" s="2"/>
    </row>
    <row r="20" customFormat="false" ht="36.75" hidden="false" customHeight="true" outlineLevel="0" collapsed="false">
      <c r="A20" s="2" t="s">
        <v>258</v>
      </c>
      <c r="B20" s="2" t="s">
        <v>259</v>
      </c>
      <c r="C20" s="2" t="s">
        <v>45</v>
      </c>
      <c r="D20" s="2"/>
    </row>
    <row r="21" customFormat="false" ht="15" hidden="false" customHeight="true" outlineLevel="0" collapsed="false">
      <c r="A21" s="2"/>
      <c r="B21" s="2"/>
      <c r="C21" s="2"/>
      <c r="D21" s="2"/>
    </row>
    <row r="22" customFormat="false" ht="24.75" hidden="false" customHeight="true" outlineLevel="0" collapsed="false">
      <c r="A22" s="3" t="s">
        <v>260</v>
      </c>
      <c r="B22" s="3"/>
      <c r="C22" s="3"/>
      <c r="D22" s="3"/>
    </row>
    <row r="23" s="9" customFormat="true" ht="15" hidden="false" customHeight="true" outlineLevel="0" collapsed="false">
      <c r="A23" s="8" t="s">
        <v>261</v>
      </c>
      <c r="B23" s="8" t="s">
        <v>262</v>
      </c>
      <c r="C23" s="8" t="s">
        <v>263</v>
      </c>
      <c r="D23" s="8" t="s">
        <v>264</v>
      </c>
    </row>
    <row r="24" customFormat="false" ht="15" hidden="false" customHeight="true" outlineLevel="0" collapsed="false">
      <c r="A24" s="2" t="s">
        <v>51</v>
      </c>
      <c r="B24" s="2" t="s">
        <v>265</v>
      </c>
      <c r="C24" s="2" t="s">
        <v>266</v>
      </c>
      <c r="D24" s="2" t="s">
        <v>267</v>
      </c>
    </row>
    <row r="25" customFormat="false" ht="15" hidden="false" customHeight="true" outlineLevel="0" collapsed="false">
      <c r="A25" s="2" t="s">
        <v>55</v>
      </c>
      <c r="B25" s="2" t="s">
        <v>268</v>
      </c>
      <c r="C25" s="2" t="s">
        <v>266</v>
      </c>
      <c r="D25" s="2" t="s">
        <v>57</v>
      </c>
    </row>
    <row r="26" customFormat="false" ht="24.75" hidden="false" customHeight="true" outlineLevel="0" collapsed="false">
      <c r="A26" s="2" t="s">
        <v>58</v>
      </c>
      <c r="B26" s="2" t="s">
        <v>269</v>
      </c>
      <c r="C26" s="2" t="s">
        <v>270</v>
      </c>
      <c r="D26" s="2" t="s">
        <v>57</v>
      </c>
    </row>
    <row r="27" customFormat="false" ht="24.75" hidden="false" customHeight="true" outlineLevel="0" collapsed="false">
      <c r="A27" s="2" t="s">
        <v>61</v>
      </c>
      <c r="B27" s="2" t="s">
        <v>271</v>
      </c>
      <c r="C27" s="2" t="s">
        <v>270</v>
      </c>
      <c r="D27" s="2" t="s">
        <v>63</v>
      </c>
    </row>
    <row r="28" customFormat="false" ht="24.75" hidden="false" customHeight="true" outlineLevel="0" collapsed="false">
      <c r="A28" s="2" t="s">
        <v>64</v>
      </c>
      <c r="B28" s="2" t="s">
        <v>272</v>
      </c>
      <c r="C28" s="2" t="s">
        <v>273</v>
      </c>
      <c r="D28" s="2" t="s">
        <v>67</v>
      </c>
    </row>
    <row r="29" customFormat="false" ht="15" hidden="false" customHeight="true" outlineLevel="0" collapsed="false">
      <c r="A29" s="2" t="s">
        <v>68</v>
      </c>
      <c r="B29" s="2" t="s">
        <v>274</v>
      </c>
      <c r="C29" s="2" t="s">
        <v>275</v>
      </c>
      <c r="D29" s="2" t="s">
        <v>71</v>
      </c>
    </row>
    <row r="30" customFormat="false" ht="36.75" hidden="false" customHeight="true" outlineLevel="0" collapsed="false">
      <c r="A30" s="2" t="s">
        <v>72</v>
      </c>
      <c r="B30" s="2" t="s">
        <v>276</v>
      </c>
      <c r="C30" s="2" t="s">
        <v>277</v>
      </c>
      <c r="D30" s="2" t="s">
        <v>267</v>
      </c>
    </row>
    <row r="31" customFormat="false" ht="15" hidden="false" customHeight="true" outlineLevel="0" collapsed="false">
      <c r="A31" s="2" t="s">
        <v>75</v>
      </c>
      <c r="B31" s="2" t="s">
        <v>278</v>
      </c>
      <c r="C31" s="2" t="s">
        <v>279</v>
      </c>
      <c r="D31" s="2" t="s">
        <v>71</v>
      </c>
    </row>
    <row r="32" customFormat="false" ht="15" hidden="false" customHeight="true" outlineLevel="0" collapsed="false">
      <c r="A32" s="2" t="s">
        <v>78</v>
      </c>
      <c r="B32" s="2" t="s">
        <v>280</v>
      </c>
      <c r="C32" s="2" t="s">
        <v>275</v>
      </c>
      <c r="D32" s="2" t="s">
        <v>71</v>
      </c>
    </row>
    <row r="33" customFormat="false" ht="15" hidden="false" customHeight="true" outlineLevel="0" collapsed="false">
      <c r="A33" s="2" t="s">
        <v>80</v>
      </c>
      <c r="B33" s="2" t="s">
        <v>281</v>
      </c>
      <c r="C33" s="2" t="s">
        <v>282</v>
      </c>
      <c r="D33" s="2" t="s">
        <v>283</v>
      </c>
    </row>
    <row r="34" customFormat="false" ht="15" hidden="false" customHeight="true" outlineLevel="0" collapsed="false">
      <c r="A34" s="2" t="s">
        <v>84</v>
      </c>
      <c r="B34" s="2" t="s">
        <v>284</v>
      </c>
      <c r="C34" s="2" t="s">
        <v>275</v>
      </c>
      <c r="D34" s="2" t="s">
        <v>71</v>
      </c>
    </row>
    <row r="35" customFormat="false" ht="15" hidden="false" customHeight="true" outlineLevel="0" collapsed="false">
      <c r="A35" s="2" t="s">
        <v>86</v>
      </c>
      <c r="B35" s="2" t="s">
        <v>285</v>
      </c>
      <c r="C35" s="2" t="s">
        <v>279</v>
      </c>
      <c r="D35" s="2" t="s">
        <v>71</v>
      </c>
    </row>
    <row r="36" customFormat="false" ht="15" hidden="false" customHeight="true" outlineLevel="0" collapsed="false">
      <c r="A36" s="2" t="s">
        <v>88</v>
      </c>
      <c r="B36" s="2" t="s">
        <v>286</v>
      </c>
      <c r="C36" s="2" t="s">
        <v>275</v>
      </c>
      <c r="D36" s="2" t="s">
        <v>71</v>
      </c>
    </row>
    <row r="37" customFormat="false" ht="15" hidden="false" customHeight="true" outlineLevel="0" collapsed="false">
      <c r="A37" s="2" t="s">
        <v>90</v>
      </c>
      <c r="B37" s="2" t="s">
        <v>287</v>
      </c>
      <c r="C37" s="2" t="s">
        <v>282</v>
      </c>
      <c r="D37" s="2" t="s">
        <v>283</v>
      </c>
    </row>
    <row r="38" customFormat="false" ht="36.75" hidden="false" customHeight="true" outlineLevel="0" collapsed="false">
      <c r="A38" s="2" t="s">
        <v>92</v>
      </c>
      <c r="B38" s="2" t="s">
        <v>288</v>
      </c>
      <c r="C38" s="2" t="s">
        <v>275</v>
      </c>
      <c r="D38" s="2" t="s">
        <v>94</v>
      </c>
    </row>
    <row r="39" customFormat="false" ht="36.75" hidden="false" customHeight="true" outlineLevel="0" collapsed="false">
      <c r="A39" s="2" t="s">
        <v>95</v>
      </c>
      <c r="B39" s="2" t="s">
        <v>289</v>
      </c>
      <c r="C39" s="2" t="s">
        <v>290</v>
      </c>
      <c r="D39" s="2" t="s">
        <v>98</v>
      </c>
    </row>
    <row r="40" customFormat="false" ht="15" hidden="false" customHeight="true" outlineLevel="0" collapsed="false">
      <c r="A40" s="2" t="s">
        <v>99</v>
      </c>
      <c r="B40" s="2" t="s">
        <v>291</v>
      </c>
      <c r="C40" s="2" t="s">
        <v>279</v>
      </c>
      <c r="D40" s="2" t="s">
        <v>98</v>
      </c>
    </row>
    <row r="41" customFormat="false" ht="24.75" hidden="false" customHeight="true" outlineLevel="0" collapsed="false">
      <c r="A41" s="2" t="s">
        <v>101</v>
      </c>
      <c r="B41" s="2" t="s">
        <v>292</v>
      </c>
      <c r="C41" s="2" t="s">
        <v>270</v>
      </c>
      <c r="D41" s="2" t="s">
        <v>67</v>
      </c>
    </row>
    <row r="42" customFormat="false" ht="15" hidden="false" customHeight="true" outlineLevel="0" collapsed="false">
      <c r="A42" s="2" t="s">
        <v>103</v>
      </c>
      <c r="B42" s="2" t="s">
        <v>293</v>
      </c>
      <c r="C42" s="2" t="s">
        <v>270</v>
      </c>
      <c r="D42" s="2" t="s">
        <v>67</v>
      </c>
    </row>
    <row r="43" customFormat="false" ht="36.75" hidden="false" customHeight="true" outlineLevel="0" collapsed="false">
      <c r="A43" s="2" t="s">
        <v>105</v>
      </c>
      <c r="B43" s="2" t="s">
        <v>294</v>
      </c>
      <c r="C43" s="2" t="s">
        <v>270</v>
      </c>
      <c r="D43" s="2" t="s">
        <v>67</v>
      </c>
    </row>
    <row r="44" customFormat="false" ht="15" hidden="false" customHeight="true" outlineLevel="0" collapsed="false">
      <c r="A44" s="2" t="s">
        <v>107</v>
      </c>
      <c r="B44" s="2" t="s">
        <v>295</v>
      </c>
      <c r="C44" s="2" t="s">
        <v>270</v>
      </c>
      <c r="D44" s="2" t="s">
        <v>67</v>
      </c>
    </row>
    <row r="45" customFormat="false" ht="24.75" hidden="false" customHeight="true" outlineLevel="0" collapsed="false">
      <c r="A45" s="2" t="s">
        <v>109</v>
      </c>
      <c r="B45" s="2" t="s">
        <v>296</v>
      </c>
      <c r="C45" s="2" t="s">
        <v>270</v>
      </c>
      <c r="D45" s="2" t="s">
        <v>283</v>
      </c>
    </row>
    <row r="46" customFormat="false" ht="15" hidden="false" customHeight="true" outlineLevel="0" collapsed="false">
      <c r="A46" s="2" t="s">
        <v>111</v>
      </c>
      <c r="B46" s="2" t="s">
        <v>297</v>
      </c>
      <c r="C46" s="2" t="s">
        <v>279</v>
      </c>
      <c r="D46" s="2" t="s">
        <v>67</v>
      </c>
    </row>
    <row r="47" customFormat="false" ht="15" hidden="false" customHeight="true" outlineLevel="0" collapsed="false">
      <c r="A47" s="2" t="s">
        <v>113</v>
      </c>
      <c r="B47" s="2" t="s">
        <v>298</v>
      </c>
      <c r="C47" s="2" t="s">
        <v>279</v>
      </c>
      <c r="D47" s="2" t="s">
        <v>67</v>
      </c>
    </row>
    <row r="48" customFormat="false" ht="15" hidden="false" customHeight="true" outlineLevel="0" collapsed="false">
      <c r="A48" s="2" t="s">
        <v>115</v>
      </c>
      <c r="B48" s="2" t="s">
        <v>299</v>
      </c>
      <c r="C48" s="2" t="s">
        <v>270</v>
      </c>
      <c r="D48" s="2" t="s">
        <v>283</v>
      </c>
    </row>
    <row r="49" customFormat="false" ht="24.75" hidden="false" customHeight="true" outlineLevel="0" collapsed="false">
      <c r="A49" s="2" t="s">
        <v>117</v>
      </c>
      <c r="B49" s="2" t="s">
        <v>300</v>
      </c>
      <c r="C49" s="2" t="s">
        <v>270</v>
      </c>
      <c r="D49" s="2" t="s">
        <v>67</v>
      </c>
    </row>
    <row r="50" customFormat="false" ht="60.75" hidden="false" customHeight="true" outlineLevel="0" collapsed="false">
      <c r="A50" s="2" t="s">
        <v>119</v>
      </c>
      <c r="B50" s="2" t="s">
        <v>301</v>
      </c>
      <c r="C50" s="2" t="s">
        <v>270</v>
      </c>
      <c r="D50" s="2" t="s">
        <v>302</v>
      </c>
    </row>
    <row r="51" customFormat="false" ht="24.75" hidden="false" customHeight="true" outlineLevel="0" collapsed="false">
      <c r="A51" s="2" t="s">
        <v>122</v>
      </c>
      <c r="B51" s="2" t="s">
        <v>303</v>
      </c>
      <c r="C51" s="2" t="s">
        <v>270</v>
      </c>
      <c r="D51" s="2" t="s">
        <v>67</v>
      </c>
    </row>
    <row r="52" customFormat="false" ht="15" hidden="false" customHeight="true" outlineLevel="0" collapsed="false">
      <c r="A52" s="2" t="s">
        <v>124</v>
      </c>
      <c r="B52" s="2" t="s">
        <v>304</v>
      </c>
      <c r="C52" s="2" t="s">
        <v>270</v>
      </c>
      <c r="D52" s="2" t="s">
        <v>67</v>
      </c>
    </row>
    <row r="53" customFormat="false" ht="15" hidden="false" customHeight="true" outlineLevel="0" collapsed="false">
      <c r="A53" s="2" t="s">
        <v>126</v>
      </c>
      <c r="B53" s="2" t="s">
        <v>305</v>
      </c>
      <c r="C53" s="2" t="s">
        <v>270</v>
      </c>
      <c r="D53" s="2" t="s">
        <v>67</v>
      </c>
    </row>
    <row r="54" customFormat="false" ht="24.75" hidden="false" customHeight="true" outlineLevel="0" collapsed="false">
      <c r="A54" s="2" t="s">
        <v>128</v>
      </c>
      <c r="B54" s="2" t="s">
        <v>306</v>
      </c>
      <c r="C54" s="2" t="s">
        <v>270</v>
      </c>
      <c r="D54" s="2" t="s">
        <v>307</v>
      </c>
    </row>
    <row r="55" customFormat="false" ht="24.75" hidden="false" customHeight="true" outlineLevel="0" collapsed="false">
      <c r="A55" s="2" t="s">
        <v>131</v>
      </c>
      <c r="B55" s="2" t="s">
        <v>308</v>
      </c>
      <c r="C55" s="2" t="s">
        <v>270</v>
      </c>
      <c r="D55" s="2" t="s">
        <v>133</v>
      </c>
    </row>
    <row r="56" customFormat="false" ht="36.75" hidden="false" customHeight="true" outlineLevel="0" collapsed="false">
      <c r="A56" s="2" t="s">
        <v>134</v>
      </c>
      <c r="B56" s="2" t="s">
        <v>309</v>
      </c>
      <c r="C56" s="2" t="s">
        <v>270</v>
      </c>
      <c r="D56" s="2" t="s">
        <v>283</v>
      </c>
    </row>
    <row r="57" customFormat="false" ht="15" hidden="false" customHeight="true" outlineLevel="0" collapsed="false">
      <c r="A57" s="2" t="s">
        <v>136</v>
      </c>
      <c r="B57" s="2" t="s">
        <v>310</v>
      </c>
      <c r="C57" s="2" t="s">
        <v>270</v>
      </c>
      <c r="D57" s="2" t="s">
        <v>283</v>
      </c>
    </row>
    <row r="58" customFormat="false" ht="24.75" hidden="false" customHeight="true" outlineLevel="0" collapsed="false">
      <c r="A58" s="2" t="s">
        <v>138</v>
      </c>
      <c r="B58" s="2" t="s">
        <v>311</v>
      </c>
      <c r="C58" s="2" t="s">
        <v>270</v>
      </c>
      <c r="D58" s="2" t="s">
        <v>312</v>
      </c>
    </row>
    <row r="59" customFormat="false" ht="15" hidden="false" customHeight="true" outlineLevel="0" collapsed="false">
      <c r="A59" s="5" t="s">
        <v>141</v>
      </c>
      <c r="B59" s="2" t="s">
        <v>313</v>
      </c>
      <c r="C59" s="2" t="s">
        <v>270</v>
      </c>
      <c r="D59" s="2" t="s">
        <v>283</v>
      </c>
    </row>
    <row r="60" customFormat="false" ht="24.75" hidden="false" customHeight="true" outlineLevel="0" collapsed="false">
      <c r="A60" s="5" t="s">
        <v>143</v>
      </c>
      <c r="B60" s="2" t="s">
        <v>314</v>
      </c>
      <c r="C60" s="2" t="s">
        <v>266</v>
      </c>
      <c r="D60" s="2" t="s">
        <v>267</v>
      </c>
    </row>
    <row r="61" customFormat="false" ht="24.75" hidden="false" customHeight="true" outlineLevel="0" collapsed="false">
      <c r="A61" s="2" t="s">
        <v>145</v>
      </c>
      <c r="B61" s="2" t="s">
        <v>146</v>
      </c>
      <c r="C61" s="2" t="s">
        <v>315</v>
      </c>
      <c r="D61" s="2" t="s">
        <v>283</v>
      </c>
    </row>
    <row r="62" customFormat="false" ht="15" hidden="false" customHeight="true" outlineLevel="0" collapsed="false">
      <c r="A62" s="2" t="s">
        <v>148</v>
      </c>
      <c r="B62" s="2" t="s">
        <v>316</v>
      </c>
      <c r="C62" s="2" t="s">
        <v>317</v>
      </c>
      <c r="D62" s="2" t="s">
        <v>94</v>
      </c>
    </row>
    <row r="63" customFormat="false" ht="24.75" hidden="false" customHeight="true" outlineLevel="0" collapsed="false">
      <c r="A63" s="2" t="s">
        <v>151</v>
      </c>
      <c r="B63" s="2" t="s">
        <v>318</v>
      </c>
      <c r="C63" s="2" t="s">
        <v>319</v>
      </c>
      <c r="D63" s="2" t="s">
        <v>94</v>
      </c>
    </row>
    <row r="64" customFormat="false" ht="15" hidden="false" customHeight="true" outlineLevel="0" collapsed="false">
      <c r="A64" s="2" t="s">
        <v>154</v>
      </c>
      <c r="B64" s="2" t="s">
        <v>320</v>
      </c>
      <c r="C64" s="2" t="s">
        <v>266</v>
      </c>
      <c r="D64" s="2" t="s">
        <v>94</v>
      </c>
    </row>
    <row r="65" customFormat="false" ht="15" hidden="false" customHeight="true" outlineLevel="0" collapsed="false">
      <c r="A65" s="5" t="s">
        <v>156</v>
      </c>
      <c r="B65" s="2" t="s">
        <v>321</v>
      </c>
      <c r="C65" s="2" t="s">
        <v>275</v>
      </c>
      <c r="D65" s="2" t="s">
        <v>322</v>
      </c>
    </row>
    <row r="66" customFormat="false" ht="15" hidden="false" customHeight="true" outlineLevel="0" collapsed="false">
      <c r="A66" s="5" t="s">
        <v>159</v>
      </c>
      <c r="B66" s="2" t="s">
        <v>323</v>
      </c>
      <c r="C66" s="2" t="s">
        <v>266</v>
      </c>
      <c r="D66" s="2" t="s">
        <v>94</v>
      </c>
    </row>
    <row r="67" customFormat="false" ht="15" hidden="false" customHeight="true" outlineLevel="0" collapsed="false">
      <c r="A67" s="5" t="s">
        <v>161</v>
      </c>
      <c r="B67" s="2" t="s">
        <v>324</v>
      </c>
      <c r="C67" s="2" t="s">
        <v>266</v>
      </c>
      <c r="D67" s="2" t="s">
        <v>267</v>
      </c>
    </row>
    <row r="68" customFormat="false" ht="15" hidden="false" customHeight="true" outlineLevel="0" collapsed="false">
      <c r="A68" s="5" t="s">
        <v>163</v>
      </c>
      <c r="B68" s="2" t="s">
        <v>325</v>
      </c>
      <c r="C68" s="2" t="s">
        <v>266</v>
      </c>
      <c r="D68" s="2" t="s">
        <v>283</v>
      </c>
    </row>
    <row r="69" customFormat="false" ht="15" hidden="false" customHeight="true" outlineLevel="0" collapsed="false">
      <c r="A69" s="2" t="s">
        <v>165</v>
      </c>
      <c r="B69" s="2" t="s">
        <v>326</v>
      </c>
      <c r="C69" s="2" t="s">
        <v>270</v>
      </c>
      <c r="D69" s="2" t="s">
        <v>67</v>
      </c>
    </row>
    <row r="70" customFormat="false" ht="15" hidden="false" customHeight="true" outlineLevel="0" collapsed="false">
      <c r="A70" s="2" t="s">
        <v>167</v>
      </c>
      <c r="B70" s="2" t="s">
        <v>327</v>
      </c>
      <c r="C70" s="2" t="s">
        <v>270</v>
      </c>
      <c r="D70" s="2" t="s">
        <v>67</v>
      </c>
    </row>
    <row r="71" customFormat="false" ht="15" hidden="false" customHeight="true" outlineLevel="0" collapsed="false">
      <c r="A71" s="2" t="s">
        <v>169</v>
      </c>
      <c r="B71" s="2" t="s">
        <v>328</v>
      </c>
      <c r="C71" s="2" t="s">
        <v>279</v>
      </c>
      <c r="D71" s="2" t="s">
        <v>67</v>
      </c>
    </row>
    <row r="72" customFormat="false" ht="15" hidden="false" customHeight="true" outlineLevel="0" collapsed="false">
      <c r="A72" s="2" t="s">
        <v>171</v>
      </c>
      <c r="B72" s="2" t="s">
        <v>329</v>
      </c>
      <c r="C72" s="2" t="s">
        <v>279</v>
      </c>
      <c r="D72" s="2" t="s">
        <v>67</v>
      </c>
    </row>
    <row r="73" customFormat="false" ht="15" hidden="false" customHeight="true" outlineLevel="0" collapsed="false">
      <c r="A73" s="2" t="s">
        <v>173</v>
      </c>
      <c r="B73" s="2" t="s">
        <v>330</v>
      </c>
      <c r="C73" s="2" t="s">
        <v>270</v>
      </c>
      <c r="D73" s="2" t="s">
        <v>67</v>
      </c>
    </row>
    <row r="74" s="9" customFormat="true" ht="15" hidden="false" customHeight="true" outlineLevel="0" collapsed="false">
      <c r="A74" s="2" t="s">
        <v>175</v>
      </c>
      <c r="B74" s="2" t="s">
        <v>331</v>
      </c>
      <c r="C74" s="2" t="s">
        <v>332</v>
      </c>
      <c r="D74" s="2" t="s">
        <v>67</v>
      </c>
    </row>
    <row r="75" customFormat="false" ht="24.75" hidden="false" customHeight="true" outlineLevel="0" collapsed="false">
      <c r="A75" s="2" t="s">
        <v>178</v>
      </c>
      <c r="B75" s="2" t="s">
        <v>333</v>
      </c>
      <c r="C75" s="2" t="s">
        <v>334</v>
      </c>
      <c r="D75" s="2" t="s">
        <v>71</v>
      </c>
    </row>
    <row r="76" customFormat="false" ht="60.75" hidden="false" customHeight="true" outlineLevel="0" collapsed="false">
      <c r="A76" s="2" t="s">
        <v>181</v>
      </c>
      <c r="B76" s="2" t="s">
        <v>335</v>
      </c>
      <c r="C76" s="2" t="s">
        <v>336</v>
      </c>
      <c r="D76" s="2" t="s">
        <v>98</v>
      </c>
    </row>
    <row r="77" customFormat="false" ht="24.75" hidden="false" customHeight="true" outlineLevel="0" collapsed="false">
      <c r="A77" s="2" t="s">
        <v>184</v>
      </c>
      <c r="B77" s="2" t="s">
        <v>337</v>
      </c>
      <c r="C77" s="2" t="s">
        <v>279</v>
      </c>
      <c r="D77" s="2" t="s">
        <v>94</v>
      </c>
    </row>
    <row r="78" customFormat="false" ht="60.75" hidden="false" customHeight="true" outlineLevel="0" collapsed="false">
      <c r="A78" s="2"/>
      <c r="B78" s="2"/>
      <c r="C78" s="2"/>
      <c r="D78" s="2"/>
    </row>
    <row r="79" customFormat="false" ht="15" hidden="false" customHeight="true" outlineLevel="0" collapsed="false">
      <c r="A79" s="3" t="s">
        <v>338</v>
      </c>
      <c r="B79" s="3"/>
      <c r="C79" s="3"/>
      <c r="D79" s="3"/>
    </row>
    <row r="80" customFormat="false" ht="48.75" hidden="false" customHeight="true" outlineLevel="0" collapsed="false">
      <c r="A80" s="8" t="s">
        <v>264</v>
      </c>
      <c r="B80" s="8" t="s">
        <v>339</v>
      </c>
      <c r="C80" s="8" t="s">
        <v>340</v>
      </c>
      <c r="D80" s="8"/>
    </row>
    <row r="81" customFormat="false" ht="24.75" hidden="false" customHeight="true" outlineLevel="0" collapsed="false">
      <c r="A81" s="2" t="s">
        <v>189</v>
      </c>
      <c r="B81" s="2" t="s">
        <v>341</v>
      </c>
      <c r="C81" s="2" t="s">
        <v>342</v>
      </c>
      <c r="D81" s="2"/>
    </row>
    <row r="82" customFormat="false" ht="24.75" hidden="false" customHeight="true" outlineLevel="0" collapsed="false">
      <c r="A82" s="2" t="s">
        <v>343</v>
      </c>
      <c r="B82" s="2"/>
      <c r="C82" s="2"/>
      <c r="D82" s="2"/>
    </row>
    <row r="83" customFormat="false" ht="24.75" hidden="false" customHeight="true" outlineLevel="0" collapsed="false">
      <c r="A83" s="2" t="s">
        <v>193</v>
      </c>
      <c r="B83" s="2" t="s">
        <v>344</v>
      </c>
      <c r="C83" s="2" t="s">
        <v>345</v>
      </c>
      <c r="D83" s="2"/>
    </row>
    <row r="84" customFormat="false" ht="36.75" hidden="false" customHeight="true" outlineLevel="0" collapsed="false">
      <c r="A84" s="2" t="s">
        <v>346</v>
      </c>
      <c r="B84" s="2"/>
      <c r="C84" s="2"/>
      <c r="D84" s="2"/>
    </row>
    <row r="85" customFormat="false" ht="15" hidden="false" customHeight="true" outlineLevel="0" collapsed="false">
      <c r="A85" s="2" t="s">
        <v>197</v>
      </c>
      <c r="B85" s="2" t="s">
        <v>347</v>
      </c>
      <c r="C85" s="2" t="s">
        <v>348</v>
      </c>
      <c r="D85" s="2"/>
    </row>
    <row r="86" customFormat="false" ht="24.75" hidden="false" customHeight="true" outlineLevel="0" collapsed="false">
      <c r="A86" s="2" t="s">
        <v>349</v>
      </c>
      <c r="B86" s="2"/>
      <c r="C86" s="2"/>
      <c r="D86" s="2"/>
    </row>
    <row r="87" customFormat="false" ht="108.75" hidden="false" customHeight="true" outlineLevel="0" collapsed="false">
      <c r="A87" s="2" t="s">
        <v>201</v>
      </c>
      <c r="B87" s="2" t="s">
        <v>350</v>
      </c>
      <c r="C87" s="2" t="s">
        <v>351</v>
      </c>
      <c r="D87" s="2"/>
    </row>
    <row r="88" customFormat="false" ht="72.75" hidden="false" customHeight="true" outlineLevel="0" collapsed="false">
      <c r="A88" s="2" t="s">
        <v>204</v>
      </c>
      <c r="B88" s="2" t="s">
        <v>352</v>
      </c>
      <c r="C88" s="2" t="s">
        <v>353</v>
      </c>
      <c r="D88" s="2"/>
    </row>
    <row r="89" customFormat="false" ht="168" hidden="false" customHeight="true" outlineLevel="0" collapsed="false">
      <c r="A89" s="2" t="s">
        <v>354</v>
      </c>
      <c r="B89" s="2" t="s">
        <v>355</v>
      </c>
      <c r="C89" s="2" t="s">
        <v>356</v>
      </c>
      <c r="D89" s="2"/>
    </row>
    <row r="90" customFormat="false" ht="15" hidden="false" customHeight="true" outlineLevel="0" collapsed="false">
      <c r="A90" s="2" t="s">
        <v>210</v>
      </c>
      <c r="B90" s="2" t="s">
        <v>357</v>
      </c>
      <c r="C90" s="2" t="s">
        <v>358</v>
      </c>
      <c r="D90" s="2"/>
    </row>
    <row r="91" customFormat="false" ht="15" hidden="false" customHeight="true" outlineLevel="0" collapsed="false">
      <c r="A91" s="2"/>
      <c r="B91" s="2"/>
      <c r="C91" s="2"/>
      <c r="D91" s="2"/>
    </row>
    <row r="92" customFormat="false" ht="84.75" hidden="false" customHeight="true" outlineLevel="0" collapsed="false">
      <c r="A92" s="3" t="s">
        <v>359</v>
      </c>
      <c r="B92" s="3"/>
      <c r="C92" s="3"/>
      <c r="D92" s="3"/>
    </row>
    <row r="93" customFormat="false" ht="36.75" hidden="false" customHeight="true" outlineLevel="0" collapsed="false">
      <c r="A93" s="2" t="s">
        <v>360</v>
      </c>
      <c r="B93" s="2"/>
      <c r="C93" s="2"/>
      <c r="D93" s="2"/>
    </row>
    <row r="94" customFormat="false" ht="72.75" hidden="false" customHeight="true" outlineLevel="0" collapsed="false">
      <c r="A94" s="2" t="s">
        <v>361</v>
      </c>
      <c r="B94" s="2"/>
      <c r="C94" s="2"/>
      <c r="D94" s="2"/>
    </row>
    <row r="95" customFormat="false" ht="72.75" hidden="false" customHeight="true" outlineLevel="0" collapsed="false">
      <c r="A95" s="2" t="s">
        <v>362</v>
      </c>
      <c r="B95" s="2"/>
      <c r="C95" s="2"/>
      <c r="D95" s="2"/>
    </row>
    <row r="96" customFormat="false" ht="48.75" hidden="false" customHeight="true" outlineLevel="0" collapsed="false">
      <c r="A96" s="2"/>
      <c r="B96" s="2"/>
      <c r="C96" s="2"/>
      <c r="D96" s="2"/>
    </row>
    <row r="97" customFormat="false" ht="36.75" hidden="false" customHeight="true" outlineLevel="0" collapsed="false">
      <c r="A97" s="3" t="s">
        <v>363</v>
      </c>
      <c r="B97" s="3"/>
      <c r="C97" s="3"/>
      <c r="D97" s="3"/>
    </row>
    <row r="98" customFormat="false" ht="72.75" hidden="false" customHeight="true" outlineLevel="0" collapsed="false">
      <c r="A98" s="2" t="s">
        <v>364</v>
      </c>
      <c r="B98" s="2"/>
      <c r="C98" s="2"/>
      <c r="D98" s="2"/>
    </row>
    <row r="99" customFormat="false" ht="72.75" hidden="false" customHeight="true" outlineLevel="0" collapsed="false">
      <c r="A99" s="2" t="s">
        <v>365</v>
      </c>
      <c r="B99" s="2"/>
      <c r="C99" s="2"/>
      <c r="D99" s="2"/>
    </row>
    <row r="100" customFormat="false" ht="48.75" hidden="false" customHeight="true" outlineLevel="0" collapsed="false">
      <c r="A100" s="2" t="s">
        <v>366</v>
      </c>
      <c r="B100" s="2"/>
      <c r="C100" s="2"/>
      <c r="D100" s="2"/>
    </row>
    <row r="101" customFormat="false" ht="61.15" hidden="false" customHeight="false" outlineLevel="0" collapsed="false">
      <c r="A101" s="2" t="s">
        <v>367</v>
      </c>
      <c r="B101" s="2"/>
      <c r="C101" s="2"/>
      <c r="D101" s="2"/>
    </row>
    <row r="102" customFormat="false" ht="37.3" hidden="false" customHeight="false" outlineLevel="0" collapsed="false">
      <c r="A102" s="2" t="s">
        <v>368</v>
      </c>
      <c r="B102" s="2"/>
      <c r="C102" s="2"/>
      <c r="D102" s="2"/>
    </row>
    <row r="103" customFormat="false" ht="73.1" hidden="false" customHeight="false" outlineLevel="0" collapsed="false">
      <c r="A103" s="2"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I17" activeCellId="0" sqref="BI17"/>
    </sheetView>
  </sheetViews>
  <sheetFormatPr defaultColWidth="8.69921875" defaultRowHeight="15" zeroHeight="false" outlineLevelRow="0" outlineLevelCol="0"/>
  <cols>
    <col collapsed="false" customWidth="true" hidden="false" outlineLevel="0" max="1" min="1" style="10" width="24"/>
    <col collapsed="false" customWidth="true" hidden="false" outlineLevel="0" max="2" min="2" style="1" width="26"/>
    <col collapsed="false" customWidth="true" hidden="false" outlineLevel="0" max="4" min="3" style="1" width="13"/>
    <col collapsed="false" customWidth="true" hidden="false" outlineLevel="0" max="6" min="5" style="1" width="20"/>
    <col collapsed="false" customWidth="true" hidden="false" outlineLevel="0" max="7" min="7" style="1" width="24"/>
    <col collapsed="false" customWidth="true" hidden="false" outlineLevel="0" max="8" min="8" style="1" width="13"/>
    <col collapsed="false" customWidth="true" hidden="false" outlineLevel="0" max="12" min="9" style="1" width="20"/>
    <col collapsed="false" customWidth="true" hidden="false" outlineLevel="0" max="14" min="13" style="1" width="24"/>
    <col collapsed="false" customWidth="true" hidden="false" outlineLevel="0" max="48" min="15" style="1" width="13"/>
    <col collapsed="false" customWidth="true" hidden="false" outlineLevel="0" max="49" min="49" style="1" width="60"/>
    <col collapsed="false" customWidth="true" hidden="false" outlineLevel="0" max="50" min="50" style="1" width="34"/>
    <col collapsed="false" customWidth="true" hidden="false" outlineLevel="0" max="51" min="51" style="1" width="40"/>
    <col collapsed="false" customWidth="true" hidden="false" outlineLevel="0" max="52" min="52" style="1" width="16"/>
    <col collapsed="false" customWidth="true" hidden="false" outlineLevel="0" max="53" min="53" style="1" width="46"/>
    <col collapsed="false" customWidth="true" hidden="false" outlineLevel="0" max="16384" min="16384" style="0" width="10.16"/>
  </cols>
  <sheetData>
    <row r="1" s="16" customFormat="true" ht="35.25" hidden="false" customHeight="true" outlineLevel="0" collapsed="false">
      <c r="A1" s="11" t="s">
        <v>51</v>
      </c>
      <c r="B1" s="11" t="s">
        <v>55</v>
      </c>
      <c r="C1" s="11" t="s">
        <v>58</v>
      </c>
      <c r="D1" s="11" t="s">
        <v>61</v>
      </c>
      <c r="E1" s="11" t="s">
        <v>64</v>
      </c>
      <c r="F1" s="12" t="s">
        <v>68</v>
      </c>
      <c r="G1" s="12" t="s">
        <v>72</v>
      </c>
      <c r="H1" s="12" t="s">
        <v>75</v>
      </c>
      <c r="I1" s="12" t="s">
        <v>78</v>
      </c>
      <c r="J1" s="12" t="s">
        <v>80</v>
      </c>
      <c r="K1" s="12" t="s">
        <v>84</v>
      </c>
      <c r="L1" s="12" t="s">
        <v>86</v>
      </c>
      <c r="M1" s="12" t="s">
        <v>88</v>
      </c>
      <c r="N1" s="12" t="s">
        <v>90</v>
      </c>
      <c r="O1" s="13" t="s">
        <v>92</v>
      </c>
      <c r="P1" s="14" t="s">
        <v>95</v>
      </c>
      <c r="Q1" s="14" t="s">
        <v>99</v>
      </c>
      <c r="R1" s="12" t="s">
        <v>101</v>
      </c>
      <c r="S1" s="12" t="s">
        <v>103</v>
      </c>
      <c r="T1" s="12" t="s">
        <v>105</v>
      </c>
      <c r="U1" s="12" t="s">
        <v>107</v>
      </c>
      <c r="V1" s="12" t="s">
        <v>109</v>
      </c>
      <c r="W1" s="12" t="s">
        <v>111</v>
      </c>
      <c r="X1" s="12" t="s">
        <v>113</v>
      </c>
      <c r="Y1" s="12" t="s">
        <v>115</v>
      </c>
      <c r="Z1" s="12" t="s">
        <v>117</v>
      </c>
      <c r="AA1" s="12" t="s">
        <v>119</v>
      </c>
      <c r="AB1" s="12" t="s">
        <v>122</v>
      </c>
      <c r="AC1" s="12" t="s">
        <v>124</v>
      </c>
      <c r="AD1" s="12" t="s">
        <v>126</v>
      </c>
      <c r="AE1" s="12" t="s">
        <v>128</v>
      </c>
      <c r="AF1" s="12" t="s">
        <v>131</v>
      </c>
      <c r="AG1" s="12" t="s">
        <v>134</v>
      </c>
      <c r="AH1" s="12" t="s">
        <v>136</v>
      </c>
      <c r="AI1" s="12" t="s">
        <v>138</v>
      </c>
      <c r="AJ1" s="12" t="s">
        <v>145</v>
      </c>
      <c r="AK1" s="13" t="s">
        <v>148</v>
      </c>
      <c r="AL1" s="13" t="s">
        <v>151</v>
      </c>
      <c r="AM1" s="13" t="s">
        <v>154</v>
      </c>
      <c r="AN1" s="12" t="s">
        <v>165</v>
      </c>
      <c r="AO1" s="12" t="s">
        <v>167</v>
      </c>
      <c r="AP1" s="12" t="s">
        <v>169</v>
      </c>
      <c r="AQ1" s="12" t="s">
        <v>171</v>
      </c>
      <c r="AR1" s="12" t="s">
        <v>173</v>
      </c>
      <c r="AS1" s="15" t="s">
        <v>175</v>
      </c>
      <c r="AT1" s="15" t="s">
        <v>178</v>
      </c>
      <c r="AU1" s="15" t="s">
        <v>181</v>
      </c>
      <c r="AV1" s="15" t="s">
        <v>184</v>
      </c>
      <c r="AW1" s="13" t="s">
        <v>159</v>
      </c>
      <c r="AX1" s="11" t="s">
        <v>161</v>
      </c>
      <c r="AY1" s="11" t="s">
        <v>163</v>
      </c>
      <c r="AZ1" s="11" t="s">
        <v>141</v>
      </c>
      <c r="BA1" s="11" t="s">
        <v>143</v>
      </c>
      <c r="BB1" s="0"/>
    </row>
    <row r="2" customFormat="false" ht="15" hidden="false" customHeight="true" outlineLevel="0" collapsed="false">
      <c r="A2" s="17" t="s">
        <v>370</v>
      </c>
      <c r="B2" s="17" t="s">
        <v>370</v>
      </c>
      <c r="C2" s="17" t="n">
        <v>700</v>
      </c>
      <c r="D2" s="17" t="n">
        <v>700</v>
      </c>
      <c r="E2" s="17" t="s">
        <v>371</v>
      </c>
      <c r="F2" s="17" t="n">
        <v>400</v>
      </c>
      <c r="G2" s="17" t="s">
        <v>372</v>
      </c>
      <c r="H2" s="17" t="n">
        <v>1999</v>
      </c>
      <c r="I2" s="17" t="n">
        <v>21923</v>
      </c>
      <c r="J2" s="18" t="n">
        <f aca="false">IFERROR(F2/I2*100,"n/a")</f>
        <v>1.82456780550107</v>
      </c>
      <c r="K2" s="17" t="n">
        <v>100</v>
      </c>
      <c r="L2" s="17" t="n">
        <v>2022</v>
      </c>
      <c r="M2" s="17" t="n">
        <v>40579</v>
      </c>
      <c r="N2" s="18" t="n">
        <f aca="false">IFERROR(K2/M2*100,"n/a")</f>
        <v>0.246432884004041</v>
      </c>
      <c r="O2" s="17"/>
      <c r="P2" s="17" t="n">
        <v>4000</v>
      </c>
      <c r="Q2" s="17" t="n">
        <v>2001</v>
      </c>
      <c r="R2" s="17" t="n">
        <v>5</v>
      </c>
      <c r="S2" s="17" t="n">
        <v>47</v>
      </c>
      <c r="T2" s="17" t="n">
        <v>41</v>
      </c>
      <c r="U2" s="17" t="n">
        <v>10</v>
      </c>
      <c r="V2" s="17" t="n">
        <v>47</v>
      </c>
      <c r="W2" s="17" t="n">
        <v>1978</v>
      </c>
      <c r="X2" s="17" t="n">
        <v>2024</v>
      </c>
      <c r="Y2" s="17" t="n">
        <v>0</v>
      </c>
      <c r="Z2" s="17" t="n">
        <v>3</v>
      </c>
      <c r="AA2" s="17" t="n">
        <v>3</v>
      </c>
      <c r="AB2" s="17" t="n">
        <v>30</v>
      </c>
      <c r="AC2" s="17" t="n">
        <v>17</v>
      </c>
      <c r="AD2" s="17" t="n">
        <v>0</v>
      </c>
      <c r="AE2" s="17" t="n">
        <v>3</v>
      </c>
      <c r="AF2" s="17" t="n">
        <v>47</v>
      </c>
      <c r="AG2" s="17" t="n">
        <v>47</v>
      </c>
      <c r="AH2" s="17" t="n">
        <v>0</v>
      </c>
      <c r="AI2" s="17" t="n">
        <v>0</v>
      </c>
      <c r="AJ2" s="18" t="n">
        <f aca="false">IF(S2=0,"n/a",IFERROR(AE2/S2,"n/a"))</f>
        <v>0.0638297872340426</v>
      </c>
      <c r="AK2" s="17" t="s">
        <v>373</v>
      </c>
      <c r="AL2" s="17"/>
      <c r="AM2" s="17" t="s">
        <v>374</v>
      </c>
      <c r="AN2" s="17" t="n">
        <v>2</v>
      </c>
      <c r="AO2" s="17" t="n">
        <v>17</v>
      </c>
      <c r="AP2" s="17" t="n">
        <v>2002</v>
      </c>
      <c r="AQ2" s="17" t="n">
        <v>2019</v>
      </c>
      <c r="AR2" s="17" t="n">
        <v>1</v>
      </c>
      <c r="AS2" s="17" t="n">
        <v>2024</v>
      </c>
      <c r="AT2" s="17" t="n">
        <v>2022</v>
      </c>
      <c r="AU2" s="17" t="n">
        <v>2003</v>
      </c>
      <c r="AV2" s="17" t="n">
        <v>2025</v>
      </c>
      <c r="AW2" s="19" t="s">
        <v>375</v>
      </c>
      <c r="AX2" s="20"/>
      <c r="AY2" s="20"/>
      <c r="AZ2" s="20" t="n">
        <v>0</v>
      </c>
      <c r="BA2" s="19" t="s">
        <v>376</v>
      </c>
    </row>
    <row r="3" customFormat="false" ht="15" hidden="false" customHeight="true" outlineLevel="0" collapsed="false">
      <c r="A3" s="17" t="s">
        <v>377</v>
      </c>
      <c r="B3" s="17" t="s">
        <v>377</v>
      </c>
      <c r="C3" s="17" t="n">
        <v>339</v>
      </c>
      <c r="D3" s="17" t="n">
        <v>339</v>
      </c>
      <c r="E3" s="17" t="s">
        <v>371</v>
      </c>
      <c r="F3" s="17" t="n">
        <v>60</v>
      </c>
      <c r="G3" s="17" t="s">
        <v>372</v>
      </c>
      <c r="H3" s="17" t="n">
        <v>1946</v>
      </c>
      <c r="I3" s="17" t="n">
        <v>1138</v>
      </c>
      <c r="J3" s="18" t="n">
        <f aca="false">IFERROR(F3/I3*100,"n/a")</f>
        <v>5.27240773286468</v>
      </c>
      <c r="K3" s="17" t="n">
        <v>8</v>
      </c>
      <c r="L3" s="17" t="n">
        <v>2022</v>
      </c>
      <c r="M3" s="17" t="n">
        <v>2828</v>
      </c>
      <c r="N3" s="18" t="n">
        <f aca="false">IFERROR(K3/M3*100,"n/a")</f>
        <v>0.282885431400283</v>
      </c>
      <c r="O3" s="17" t="n">
        <v>7.5</v>
      </c>
      <c r="P3" s="17" t="n">
        <v>0</v>
      </c>
      <c r="Q3" s="21" t="s">
        <v>9</v>
      </c>
      <c r="R3" s="17" t="n">
        <v>1</v>
      </c>
      <c r="S3" s="17" t="n">
        <v>1</v>
      </c>
      <c r="T3" s="17" t="n">
        <v>0</v>
      </c>
      <c r="U3" s="17" t="n">
        <v>1</v>
      </c>
      <c r="V3" s="17" t="n">
        <v>1</v>
      </c>
      <c r="W3" s="17" t="n">
        <v>1946</v>
      </c>
      <c r="X3" s="17" t="n">
        <v>1946</v>
      </c>
      <c r="Y3" s="17" t="n">
        <v>78</v>
      </c>
      <c r="Z3" s="17" t="n">
        <v>1</v>
      </c>
      <c r="AA3" s="17" t="n">
        <v>1</v>
      </c>
      <c r="AB3" s="17" t="n">
        <v>0</v>
      </c>
      <c r="AC3" s="17" t="n">
        <v>0</v>
      </c>
      <c r="AD3" s="17" t="n">
        <v>0</v>
      </c>
      <c r="AE3" s="17" t="n">
        <v>1</v>
      </c>
      <c r="AF3" s="17" t="n">
        <v>0</v>
      </c>
      <c r="AG3" s="17" t="n">
        <v>1</v>
      </c>
      <c r="AH3" s="17" t="n">
        <v>0</v>
      </c>
      <c r="AI3" s="17" t="n">
        <v>0</v>
      </c>
      <c r="AJ3" s="18" t="n">
        <f aca="false">IF(S3=0,"n/a",IFERROR(AE3/S3,"n/a"))</f>
        <v>1</v>
      </c>
      <c r="AK3" s="17" t="s">
        <v>373</v>
      </c>
      <c r="AL3" s="17"/>
      <c r="AM3" s="17" t="s">
        <v>378</v>
      </c>
      <c r="AN3" s="17" t="n">
        <v>2</v>
      </c>
      <c r="AO3" s="17" t="n">
        <v>11</v>
      </c>
      <c r="AP3" s="17" t="n">
        <v>2004</v>
      </c>
      <c r="AQ3" s="17" t="n">
        <v>2014</v>
      </c>
      <c r="AR3" s="17" t="n">
        <v>11</v>
      </c>
      <c r="AS3" s="17" t="n">
        <v>2024</v>
      </c>
      <c r="AT3" s="17" t="n">
        <v>2022</v>
      </c>
      <c r="AU3" s="21" t="n">
        <v>2003</v>
      </c>
      <c r="AV3" s="17" t="n">
        <v>2025</v>
      </c>
      <c r="AW3" s="19" t="s">
        <v>379</v>
      </c>
      <c r="AX3" s="20"/>
      <c r="AY3" s="20"/>
      <c r="AZ3" s="20" t="n">
        <v>0</v>
      </c>
      <c r="BA3" s="19" t="s">
        <v>380</v>
      </c>
    </row>
    <row r="4" customFormat="false" ht="15" hidden="false" customHeight="true" outlineLevel="0" collapsed="false">
      <c r="A4" s="17" t="s">
        <v>381</v>
      </c>
      <c r="B4" s="17" t="s">
        <v>381</v>
      </c>
      <c r="C4" s="17" t="n">
        <v>615</v>
      </c>
      <c r="D4" s="17" t="n">
        <v>615</v>
      </c>
      <c r="E4" s="17" t="s">
        <v>371</v>
      </c>
      <c r="F4" s="17" t="n">
        <v>147</v>
      </c>
      <c r="G4" s="17" t="s">
        <v>372</v>
      </c>
      <c r="H4" s="17" t="n">
        <v>2008</v>
      </c>
      <c r="I4" s="17" t="n">
        <v>35725</v>
      </c>
      <c r="J4" s="18" t="n">
        <f aca="false">IFERROR(F4/I4*100,"n/a")</f>
        <v>0.41147655703289</v>
      </c>
      <c r="K4" s="17" t="n">
        <v>139</v>
      </c>
      <c r="L4" s="17" t="n">
        <v>2022</v>
      </c>
      <c r="M4" s="17" t="n">
        <v>45477</v>
      </c>
      <c r="N4" s="18" t="n">
        <f aca="false">IFERROR(K4/M4*100,"n/a")</f>
        <v>0.305649009389362</v>
      </c>
      <c r="O4" s="17" t="n">
        <v>200</v>
      </c>
      <c r="P4" s="17" t="n">
        <v>0</v>
      </c>
      <c r="Q4" s="21" t="s">
        <v>9</v>
      </c>
      <c r="R4" s="17" t="n">
        <v>3</v>
      </c>
      <c r="S4" s="17" t="n">
        <v>30</v>
      </c>
      <c r="T4" s="17" t="n">
        <v>6</v>
      </c>
      <c r="U4" s="17" t="n">
        <v>24</v>
      </c>
      <c r="V4" s="17" t="n">
        <v>28</v>
      </c>
      <c r="W4" s="17" t="n">
        <v>1963</v>
      </c>
      <c r="X4" s="17" t="n">
        <v>2020</v>
      </c>
      <c r="Y4" s="17" t="n">
        <v>4</v>
      </c>
      <c r="Z4" s="17" t="n">
        <v>1</v>
      </c>
      <c r="AA4" s="17" t="n">
        <v>1</v>
      </c>
      <c r="AB4" s="17" t="n">
        <v>1</v>
      </c>
      <c r="AC4" s="17" t="n">
        <v>28</v>
      </c>
      <c r="AD4" s="17" t="n">
        <v>0</v>
      </c>
      <c r="AE4" s="17" t="n">
        <v>1</v>
      </c>
      <c r="AF4" s="17" t="n">
        <v>29</v>
      </c>
      <c r="AG4" s="17" t="n">
        <v>30</v>
      </c>
      <c r="AH4" s="17" t="n">
        <v>0</v>
      </c>
      <c r="AI4" s="17" t="n">
        <v>0</v>
      </c>
      <c r="AJ4" s="18" t="n">
        <f aca="false">IF(S4=0,"n/a",IFERROR(AE4/S4,"n/a"))</f>
        <v>0.0333333333333333</v>
      </c>
      <c r="AK4" s="17" t="s">
        <v>382</v>
      </c>
      <c r="AL4" s="17"/>
      <c r="AM4" s="17" t="s">
        <v>383</v>
      </c>
      <c r="AN4" s="17" t="n">
        <v>1</v>
      </c>
      <c r="AO4" s="17" t="n">
        <v>1</v>
      </c>
      <c r="AP4" s="17" t="n">
        <v>1976</v>
      </c>
      <c r="AQ4" s="17" t="n">
        <v>1976</v>
      </c>
      <c r="AR4" s="17" t="n">
        <v>0</v>
      </c>
      <c r="AS4" s="17" t="n">
        <v>2024</v>
      </c>
      <c r="AT4" s="17" t="n">
        <v>2022</v>
      </c>
      <c r="AU4" s="21" t="n">
        <v>2003</v>
      </c>
      <c r="AV4" s="17" t="n">
        <v>2025</v>
      </c>
      <c r="AW4" s="19" t="s">
        <v>384</v>
      </c>
      <c r="AX4" s="20"/>
      <c r="AY4" s="20" t="s">
        <v>385</v>
      </c>
      <c r="AZ4" s="20" t="n">
        <v>0</v>
      </c>
      <c r="BA4" s="19" t="s">
        <v>376</v>
      </c>
    </row>
    <row r="5" customFormat="false" ht="15" hidden="false" customHeight="true" outlineLevel="0" collapsed="false">
      <c r="A5" s="17" t="s">
        <v>386</v>
      </c>
      <c r="B5" s="17" t="s">
        <v>386</v>
      </c>
      <c r="C5" s="17" t="n">
        <v>540</v>
      </c>
      <c r="D5" s="17" t="n">
        <v>540</v>
      </c>
      <c r="E5" s="17" t="s">
        <v>371</v>
      </c>
      <c r="F5" s="17" t="n">
        <v>150</v>
      </c>
      <c r="G5" s="17" t="s">
        <v>372</v>
      </c>
      <c r="H5" s="17" t="n">
        <v>1991</v>
      </c>
      <c r="I5" s="17" t="n">
        <v>9515</v>
      </c>
      <c r="J5" s="18" t="n">
        <f aca="false">IFERROR(F5/I5*100,"n/a")</f>
        <v>1.57645822385707</v>
      </c>
      <c r="K5" s="17" t="n">
        <v>107</v>
      </c>
      <c r="L5" s="17" t="n">
        <v>2022</v>
      </c>
      <c r="M5" s="17" t="n">
        <v>35635</v>
      </c>
      <c r="N5" s="18" t="n">
        <f aca="false">IFERROR(K5/M5*100,"n/a")</f>
        <v>0.300266591833871</v>
      </c>
      <c r="O5" s="17" t="n">
        <v>100</v>
      </c>
      <c r="P5" s="17" t="n">
        <v>1000</v>
      </c>
      <c r="Q5" s="17" t="n">
        <v>1976</v>
      </c>
      <c r="R5" s="17" t="n">
        <v>2</v>
      </c>
      <c r="S5" s="17" t="n">
        <v>38</v>
      </c>
      <c r="T5" s="17" t="n">
        <v>23</v>
      </c>
      <c r="U5" s="17" t="n">
        <v>18</v>
      </c>
      <c r="V5" s="17" t="n">
        <v>30</v>
      </c>
      <c r="W5" s="17" t="n">
        <v>1975</v>
      </c>
      <c r="X5" s="17" t="n">
        <v>2024</v>
      </c>
      <c r="Y5" s="17" t="n">
        <v>0</v>
      </c>
      <c r="Z5" s="17" t="n">
        <v>0</v>
      </c>
      <c r="AA5" s="17" t="n">
        <v>0</v>
      </c>
      <c r="AB5" s="17" t="n">
        <v>19</v>
      </c>
      <c r="AC5" s="17" t="n">
        <v>20</v>
      </c>
      <c r="AD5" s="17" t="n">
        <v>0</v>
      </c>
      <c r="AE5" s="17" t="n">
        <v>0</v>
      </c>
      <c r="AF5" s="17" t="n">
        <v>38</v>
      </c>
      <c r="AG5" s="17" t="n">
        <v>38</v>
      </c>
      <c r="AH5" s="17" t="n">
        <v>0</v>
      </c>
      <c r="AI5" s="17" t="n">
        <v>0</v>
      </c>
      <c r="AJ5" s="18" t="n">
        <f aca="false">IF(S5=0,"n/a",IFERROR(AE5/S5,"n/a"))</f>
        <v>0</v>
      </c>
      <c r="AK5" s="17" t="s">
        <v>382</v>
      </c>
      <c r="AL5" s="17" t="n">
        <v>24</v>
      </c>
      <c r="AM5" s="17" t="s">
        <v>387</v>
      </c>
      <c r="AN5" s="17" t="n">
        <v>3</v>
      </c>
      <c r="AO5" s="17" t="n">
        <v>10</v>
      </c>
      <c r="AP5" s="17" t="n">
        <v>1997</v>
      </c>
      <c r="AQ5" s="17" t="n">
        <v>2024</v>
      </c>
      <c r="AR5" s="17" t="n">
        <v>4</v>
      </c>
      <c r="AS5" s="17" t="n">
        <v>2024</v>
      </c>
      <c r="AT5" s="17" t="n">
        <v>2022</v>
      </c>
      <c r="AU5" s="17" t="n">
        <v>2003</v>
      </c>
      <c r="AV5" s="17" t="n">
        <v>2025</v>
      </c>
      <c r="AW5" s="19" t="s">
        <v>388</v>
      </c>
      <c r="AX5" s="20"/>
      <c r="AY5" s="20"/>
      <c r="AZ5" s="20" t="n">
        <v>0</v>
      </c>
      <c r="BA5" s="19" t="s">
        <v>389</v>
      </c>
    </row>
    <row r="6" customFormat="false" ht="15" hidden="false" customHeight="true" outlineLevel="0" collapsed="false">
      <c r="A6" s="17" t="s">
        <v>390</v>
      </c>
      <c r="B6" s="17" t="s">
        <v>390</v>
      </c>
      <c r="C6" s="17" t="n">
        <v>160</v>
      </c>
      <c r="D6" s="17" t="n">
        <v>160</v>
      </c>
      <c r="E6" s="17" t="s">
        <v>371</v>
      </c>
      <c r="F6" s="17" t="n">
        <v>175</v>
      </c>
      <c r="G6" s="17" t="s">
        <v>372</v>
      </c>
      <c r="H6" s="17" t="n">
        <v>1982</v>
      </c>
      <c r="I6" s="17" t="n">
        <v>28966</v>
      </c>
      <c r="J6" s="18" t="n">
        <f aca="false">IFERROR(F6/I6*100,"n/a")</f>
        <v>0.604156597390044</v>
      </c>
      <c r="K6" s="17" t="n">
        <v>72</v>
      </c>
      <c r="L6" s="17" t="n">
        <v>2022</v>
      </c>
      <c r="M6" s="17" t="n">
        <v>45408</v>
      </c>
      <c r="N6" s="18" t="n">
        <f aca="false">IFERROR(K6/M6*100,"n/a")</f>
        <v>0.158562367864693</v>
      </c>
      <c r="O6" s="17" t="n">
        <v>75</v>
      </c>
      <c r="P6" s="17" t="n">
        <v>746</v>
      </c>
      <c r="Q6" s="17" t="n">
        <v>1982</v>
      </c>
      <c r="R6" s="17" t="n">
        <v>2</v>
      </c>
      <c r="S6" s="17" t="n">
        <v>7</v>
      </c>
      <c r="T6" s="17" t="n">
        <v>0</v>
      </c>
      <c r="U6" s="17" t="n">
        <v>7</v>
      </c>
      <c r="V6" s="17" t="n">
        <v>4</v>
      </c>
      <c r="W6" s="17" t="n">
        <v>1955</v>
      </c>
      <c r="X6" s="17" t="n">
        <v>1982</v>
      </c>
      <c r="Y6" s="17" t="n">
        <v>42</v>
      </c>
      <c r="Z6" s="17" t="n">
        <v>1</v>
      </c>
      <c r="AA6" s="17" t="n">
        <v>1</v>
      </c>
      <c r="AB6" s="17" t="n">
        <v>0</v>
      </c>
      <c r="AC6" s="17" t="n">
        <v>6</v>
      </c>
      <c r="AD6" s="17" t="n">
        <v>0</v>
      </c>
      <c r="AE6" s="17" t="n">
        <v>0</v>
      </c>
      <c r="AF6" s="17" t="n">
        <v>6</v>
      </c>
      <c r="AG6" s="17" t="n">
        <v>6</v>
      </c>
      <c r="AH6" s="17" t="n">
        <v>0</v>
      </c>
      <c r="AI6" s="17" t="n">
        <v>1</v>
      </c>
      <c r="AJ6" s="18" t="n">
        <f aca="false">IF(S6=0,"n/a",IFERROR(AE6/S6,"n/a"))</f>
        <v>0</v>
      </c>
      <c r="AK6" s="17" t="s">
        <v>373</v>
      </c>
      <c r="AL6" s="17"/>
      <c r="AM6" s="17" t="s">
        <v>391</v>
      </c>
      <c r="AN6" s="17" t="n">
        <v>2</v>
      </c>
      <c r="AO6" s="17" t="n">
        <v>3</v>
      </c>
      <c r="AP6" s="17" t="n">
        <v>1991</v>
      </c>
      <c r="AQ6" s="17" t="n">
        <v>2024</v>
      </c>
      <c r="AR6" s="17" t="n">
        <v>1</v>
      </c>
      <c r="AS6" s="17" t="n">
        <v>2024</v>
      </c>
      <c r="AT6" s="17" t="n">
        <v>2022</v>
      </c>
      <c r="AU6" s="17" t="n">
        <v>2003</v>
      </c>
      <c r="AV6" s="17" t="n">
        <v>2025</v>
      </c>
      <c r="AW6" s="19" t="s">
        <v>392</v>
      </c>
      <c r="AX6" s="20"/>
      <c r="AY6" s="20"/>
      <c r="AZ6" s="20" t="n">
        <v>0</v>
      </c>
      <c r="BA6" s="19" t="s">
        <v>376</v>
      </c>
    </row>
    <row r="7" customFormat="false" ht="15" hidden="false" customHeight="true" outlineLevel="0" collapsed="false">
      <c r="A7" s="17" t="s">
        <v>393</v>
      </c>
      <c r="B7" s="17" t="s">
        <v>393</v>
      </c>
      <c r="C7" s="17" t="n">
        <v>371</v>
      </c>
      <c r="D7" s="17" t="n">
        <v>371</v>
      </c>
      <c r="E7" s="17" t="s">
        <v>394</v>
      </c>
      <c r="F7" s="17" t="n">
        <v>60</v>
      </c>
      <c r="G7" s="17" t="s">
        <v>395</v>
      </c>
      <c r="H7" s="17" t="n">
        <v>1995</v>
      </c>
      <c r="I7" s="17" t="n">
        <v>3759</v>
      </c>
      <c r="J7" s="18" t="n">
        <f aca="false">IFERROR(F7/I7*100,"n/a")</f>
        <v>1.59616919393456</v>
      </c>
      <c r="K7" s="17" t="n">
        <v>43</v>
      </c>
      <c r="L7" s="17" t="n">
        <v>2022</v>
      </c>
      <c r="M7" s="17" t="n">
        <v>2881</v>
      </c>
      <c r="N7" s="18" t="n">
        <f aca="false">IFERROR(K7/M7*100,"n/a")</f>
        <v>1.49253731343284</v>
      </c>
      <c r="O7" s="17" t="n">
        <v>50</v>
      </c>
      <c r="P7" s="17" t="n">
        <v>5500</v>
      </c>
      <c r="Q7" s="17" t="n">
        <v>1994</v>
      </c>
      <c r="R7" s="17" t="n">
        <v>0</v>
      </c>
      <c r="S7" s="17" t="n">
        <v>0</v>
      </c>
      <c r="T7" s="17" t="n">
        <v>0</v>
      </c>
      <c r="U7" s="17" t="n">
        <v>0</v>
      </c>
      <c r="V7" s="17" t="n">
        <v>0</v>
      </c>
      <c r="W7" s="21" t="s">
        <v>9</v>
      </c>
      <c r="X7" s="21" t="s">
        <v>9</v>
      </c>
      <c r="Y7" s="21" t="s">
        <v>9</v>
      </c>
      <c r="Z7" s="17" t="n">
        <v>0</v>
      </c>
      <c r="AA7" s="17" t="n">
        <v>0</v>
      </c>
      <c r="AB7" s="17" t="n">
        <v>0</v>
      </c>
      <c r="AC7" s="17" t="n">
        <v>0</v>
      </c>
      <c r="AD7" s="17" t="n">
        <v>0</v>
      </c>
      <c r="AE7" s="17" t="n">
        <v>0</v>
      </c>
      <c r="AF7" s="17" t="n">
        <v>0</v>
      </c>
      <c r="AG7" s="17" t="n">
        <v>0</v>
      </c>
      <c r="AH7" s="17" t="n">
        <v>0</v>
      </c>
      <c r="AI7" s="17" t="n">
        <v>0</v>
      </c>
      <c r="AJ7" s="18" t="str">
        <f aca="false">IF(S7=0,"n/a",IFERROR(AE7/S7,"n/a"))</f>
        <v>n/a</v>
      </c>
      <c r="AK7" s="17" t="s">
        <v>382</v>
      </c>
      <c r="AL7" s="17" t="n">
        <v>7.5</v>
      </c>
      <c r="AM7" s="17" t="s">
        <v>396</v>
      </c>
      <c r="AN7" s="17" t="n">
        <v>6</v>
      </c>
      <c r="AO7" s="17" t="n">
        <v>23</v>
      </c>
      <c r="AP7" s="17" t="n">
        <v>1991</v>
      </c>
      <c r="AQ7" s="17" t="n">
        <v>2023</v>
      </c>
      <c r="AR7" s="17" t="n">
        <v>12</v>
      </c>
      <c r="AS7" s="17" t="n">
        <v>2024</v>
      </c>
      <c r="AT7" s="17" t="n">
        <v>2022</v>
      </c>
      <c r="AU7" s="17" t="n">
        <v>2003</v>
      </c>
      <c r="AV7" s="17" t="n">
        <v>2025</v>
      </c>
      <c r="AW7" s="19" t="s">
        <v>397</v>
      </c>
      <c r="AX7" s="20"/>
      <c r="AY7" s="20"/>
      <c r="AZ7" s="20" t="n">
        <v>0</v>
      </c>
      <c r="BA7" s="19"/>
    </row>
    <row r="8" customFormat="false" ht="15" hidden="false" customHeight="true" outlineLevel="0" collapsed="false">
      <c r="A8" s="17" t="s">
        <v>398</v>
      </c>
      <c r="B8" s="17" t="s">
        <v>398</v>
      </c>
      <c r="C8" s="17" t="n">
        <v>900</v>
      </c>
      <c r="D8" s="17" t="n">
        <v>900</v>
      </c>
      <c r="E8" s="17" t="s">
        <v>371</v>
      </c>
      <c r="F8" s="17" t="n">
        <v>54</v>
      </c>
      <c r="G8" s="17" t="s">
        <v>372</v>
      </c>
      <c r="H8" s="17" t="n">
        <v>2003</v>
      </c>
      <c r="I8" s="17" t="n">
        <v>19953</v>
      </c>
      <c r="J8" s="18" t="n">
        <f aca="false">IFERROR(F8/I8*100,"n/a")</f>
        <v>0.27063599458728</v>
      </c>
      <c r="K8" s="17" t="n">
        <v>60</v>
      </c>
      <c r="L8" s="17" t="n">
        <v>2022</v>
      </c>
      <c r="M8" s="17" t="n">
        <v>26201</v>
      </c>
      <c r="N8" s="18" t="n">
        <f aca="false">IFERROR(K8/M8*100,"n/a")</f>
        <v>0.228998893172016</v>
      </c>
      <c r="O8" s="17" t="n">
        <v>60</v>
      </c>
      <c r="P8" s="17" t="n">
        <v>785</v>
      </c>
      <c r="Q8" s="17" t="n">
        <v>2003</v>
      </c>
      <c r="R8" s="17" t="n">
        <v>1</v>
      </c>
      <c r="S8" s="17" t="n">
        <v>1</v>
      </c>
      <c r="T8" s="17" t="n">
        <v>1</v>
      </c>
      <c r="U8" s="17" t="n">
        <v>0</v>
      </c>
      <c r="V8" s="17" t="n">
        <v>1</v>
      </c>
      <c r="W8" s="17" t="n">
        <v>2003</v>
      </c>
      <c r="X8" s="17" t="n">
        <v>2003</v>
      </c>
      <c r="Y8" s="17" t="n">
        <v>21</v>
      </c>
      <c r="Z8" s="17" t="n">
        <v>1</v>
      </c>
      <c r="AA8" s="17" t="n">
        <v>1</v>
      </c>
      <c r="AB8" s="17" t="n">
        <v>0</v>
      </c>
      <c r="AC8" s="17" t="n">
        <v>0</v>
      </c>
      <c r="AD8" s="17" t="n">
        <v>0</v>
      </c>
      <c r="AE8" s="17" t="n">
        <v>0</v>
      </c>
      <c r="AF8" s="17" t="n">
        <v>0</v>
      </c>
      <c r="AG8" s="17" t="n">
        <v>0</v>
      </c>
      <c r="AH8" s="17" t="n">
        <v>0</v>
      </c>
      <c r="AI8" s="17" t="n">
        <v>1</v>
      </c>
      <c r="AJ8" s="18" t="n">
        <f aca="false">IF(S8=0,"n/a",IFERROR(AE8/S8,"n/a"))</f>
        <v>0</v>
      </c>
      <c r="AK8" s="17" t="s">
        <v>373</v>
      </c>
      <c r="AL8" s="17"/>
      <c r="AM8" s="17" t="s">
        <v>399</v>
      </c>
      <c r="AN8" s="17" t="n">
        <v>11</v>
      </c>
      <c r="AO8" s="17" t="n">
        <v>43</v>
      </c>
      <c r="AP8" s="17" t="n">
        <v>1950</v>
      </c>
      <c r="AQ8" s="17" t="n">
        <v>2024</v>
      </c>
      <c r="AR8" s="17" t="n">
        <v>29</v>
      </c>
      <c r="AS8" s="17" t="n">
        <v>2024</v>
      </c>
      <c r="AT8" s="17" t="n">
        <v>2022</v>
      </c>
      <c r="AU8" s="17" t="n">
        <v>2003</v>
      </c>
      <c r="AV8" s="17" t="n">
        <v>2025</v>
      </c>
      <c r="AW8" s="19" t="s">
        <v>400</v>
      </c>
      <c r="AX8" s="20"/>
      <c r="AY8" s="20"/>
      <c r="AZ8" s="20" t="n">
        <v>0</v>
      </c>
      <c r="BA8" s="19" t="s">
        <v>380</v>
      </c>
    </row>
    <row r="9" customFormat="false" ht="15" hidden="false" customHeight="true" outlineLevel="0" collapsed="false">
      <c r="A9" s="17" t="s">
        <v>401</v>
      </c>
      <c r="B9" s="17" t="s">
        <v>401</v>
      </c>
      <c r="C9" s="17" t="n">
        <v>305</v>
      </c>
      <c r="D9" s="17" t="n">
        <v>305</v>
      </c>
      <c r="E9" s="17" t="s">
        <v>394</v>
      </c>
      <c r="F9" s="17" t="n">
        <v>75</v>
      </c>
      <c r="G9" s="17" t="s">
        <v>395</v>
      </c>
      <c r="H9" s="17" t="n">
        <v>1963</v>
      </c>
      <c r="I9" s="17" t="n">
        <v>7176</v>
      </c>
      <c r="J9" s="18" t="n">
        <f aca="false">IFERROR(F9/I9*100,"n/a")</f>
        <v>1.04515050167224</v>
      </c>
      <c r="K9" s="17" t="n">
        <v>23</v>
      </c>
      <c r="L9" s="17" t="n">
        <v>2022</v>
      </c>
      <c r="M9" s="17" t="n">
        <v>9065</v>
      </c>
      <c r="N9" s="18" t="n">
        <f aca="false">IFERROR(K9/M9*100,"n/a")</f>
        <v>0.253723110865968</v>
      </c>
      <c r="O9" s="17" t="n">
        <v>22</v>
      </c>
      <c r="P9" s="17" t="n">
        <v>0</v>
      </c>
      <c r="Q9" s="21" t="s">
        <v>9</v>
      </c>
      <c r="R9" s="17" t="n">
        <v>0</v>
      </c>
      <c r="S9" s="17" t="n">
        <v>0</v>
      </c>
      <c r="T9" s="17" t="n">
        <v>0</v>
      </c>
      <c r="U9" s="17" t="n">
        <v>0</v>
      </c>
      <c r="V9" s="17" t="n">
        <v>0</v>
      </c>
      <c r="W9" s="21" t="s">
        <v>9</v>
      </c>
      <c r="X9" s="21" t="s">
        <v>9</v>
      </c>
      <c r="Y9" s="21" t="s">
        <v>9</v>
      </c>
      <c r="Z9" s="17" t="n">
        <v>0</v>
      </c>
      <c r="AA9" s="17" t="n">
        <v>0</v>
      </c>
      <c r="AB9" s="17" t="n">
        <v>0</v>
      </c>
      <c r="AC9" s="17" t="n">
        <v>0</v>
      </c>
      <c r="AD9" s="17" t="n">
        <v>0</v>
      </c>
      <c r="AE9" s="17" t="n">
        <v>0</v>
      </c>
      <c r="AF9" s="17" t="n">
        <v>0</v>
      </c>
      <c r="AG9" s="17" t="n">
        <v>0</v>
      </c>
      <c r="AH9" s="17" t="n">
        <v>0</v>
      </c>
      <c r="AI9" s="17" t="n">
        <v>0</v>
      </c>
      <c r="AJ9" s="18" t="str">
        <f aca="false">IF(S9=0,"n/a",IFERROR(AE9/S9,"n/a"))</f>
        <v>n/a</v>
      </c>
      <c r="AK9" s="17" t="s">
        <v>382</v>
      </c>
      <c r="AL9" s="17"/>
      <c r="AM9" s="17" t="s">
        <v>387</v>
      </c>
      <c r="AN9" s="17" t="n">
        <v>4</v>
      </c>
      <c r="AO9" s="17" t="n">
        <v>17</v>
      </c>
      <c r="AP9" s="17" t="n">
        <v>2006</v>
      </c>
      <c r="AQ9" s="17" t="n">
        <v>2023</v>
      </c>
      <c r="AR9" s="17" t="n">
        <v>9</v>
      </c>
      <c r="AS9" s="17" t="n">
        <v>2024</v>
      </c>
      <c r="AT9" s="17" t="n">
        <v>2022</v>
      </c>
      <c r="AU9" s="21" t="n">
        <v>2003</v>
      </c>
      <c r="AV9" s="17" t="n">
        <v>2025</v>
      </c>
      <c r="AW9" s="19" t="s">
        <v>402</v>
      </c>
      <c r="AX9" s="20"/>
      <c r="AY9" s="20" t="s">
        <v>385</v>
      </c>
      <c r="AZ9" s="20" t="n">
        <v>0</v>
      </c>
      <c r="BA9" s="19"/>
    </row>
    <row r="10" customFormat="false" ht="15" hidden="false" customHeight="true" outlineLevel="0" collapsed="false">
      <c r="A10" s="17" t="s">
        <v>403</v>
      </c>
      <c r="B10" s="17" t="s">
        <v>403</v>
      </c>
      <c r="C10" s="17" t="n">
        <v>373</v>
      </c>
      <c r="D10" s="17" t="n">
        <v>373</v>
      </c>
      <c r="E10" s="17" t="s">
        <v>371</v>
      </c>
      <c r="F10" s="17" t="n">
        <v>78</v>
      </c>
      <c r="G10" s="17" t="s">
        <v>372</v>
      </c>
      <c r="H10" s="17" t="n">
        <v>1995</v>
      </c>
      <c r="I10" s="17" t="n">
        <v>7487</v>
      </c>
      <c r="J10" s="18" t="n">
        <f aca="false">IFERROR(F10/I10*100,"n/a")</f>
        <v>1.0418057967143</v>
      </c>
      <c r="K10" s="17" t="n">
        <v>64</v>
      </c>
      <c r="L10" s="17" t="n">
        <v>2022</v>
      </c>
      <c r="M10" s="17" t="n">
        <v>10295</v>
      </c>
      <c r="N10" s="18" t="n">
        <f aca="false">IFERROR(K10/M10*100,"n/a")</f>
        <v>0.621661000485673</v>
      </c>
      <c r="O10" s="17" t="n">
        <v>100</v>
      </c>
      <c r="P10" s="17" t="n">
        <v>8500</v>
      </c>
      <c r="Q10" s="17" t="n">
        <v>1994</v>
      </c>
      <c r="R10" s="17" t="n">
        <v>2</v>
      </c>
      <c r="S10" s="17" t="n">
        <v>18</v>
      </c>
      <c r="T10" s="17" t="n">
        <v>4</v>
      </c>
      <c r="U10" s="17" t="n">
        <v>15</v>
      </c>
      <c r="V10" s="17" t="n">
        <v>5</v>
      </c>
      <c r="W10" s="17" t="n">
        <v>1991</v>
      </c>
      <c r="X10" s="17" t="n">
        <v>2023</v>
      </c>
      <c r="Y10" s="17" t="n">
        <v>1</v>
      </c>
      <c r="Z10" s="17" t="n">
        <v>0</v>
      </c>
      <c r="AA10" s="17" t="n">
        <v>0</v>
      </c>
      <c r="AB10" s="17" t="n">
        <v>16</v>
      </c>
      <c r="AC10" s="17" t="n">
        <v>3</v>
      </c>
      <c r="AD10" s="17" t="n">
        <v>0</v>
      </c>
      <c r="AE10" s="17" t="n">
        <v>0</v>
      </c>
      <c r="AF10" s="17" t="n">
        <v>18</v>
      </c>
      <c r="AG10" s="17" t="n">
        <v>18</v>
      </c>
      <c r="AH10" s="17" t="n">
        <v>0</v>
      </c>
      <c r="AI10" s="17" t="n">
        <v>0</v>
      </c>
      <c r="AJ10" s="18" t="n">
        <f aca="false">IF(S10=0,"n/a",IFERROR(AE10/S10,"n/a"))</f>
        <v>0</v>
      </c>
      <c r="AK10" s="17" t="s">
        <v>382</v>
      </c>
      <c r="AL10" s="17" t="n">
        <v>18</v>
      </c>
      <c r="AM10" s="17" t="s">
        <v>404</v>
      </c>
      <c r="AN10" s="17" t="n">
        <v>2</v>
      </c>
      <c r="AO10" s="17" t="n">
        <v>11</v>
      </c>
      <c r="AP10" s="17" t="n">
        <v>2004</v>
      </c>
      <c r="AQ10" s="17" t="n">
        <v>2014</v>
      </c>
      <c r="AR10" s="17" t="n">
        <v>11</v>
      </c>
      <c r="AS10" s="17" t="n">
        <v>2024</v>
      </c>
      <c r="AT10" s="17" t="n">
        <v>2022</v>
      </c>
      <c r="AU10" s="17" t="n">
        <v>2003</v>
      </c>
      <c r="AV10" s="17" t="n">
        <v>2025</v>
      </c>
      <c r="AW10" s="19" t="s">
        <v>405</v>
      </c>
      <c r="AX10" s="20"/>
      <c r="AY10" s="20"/>
      <c r="AZ10" s="20" t="n">
        <v>0</v>
      </c>
      <c r="BA10" s="19" t="s">
        <v>389</v>
      </c>
    </row>
    <row r="11" customFormat="false" ht="15" hidden="false" customHeight="true" outlineLevel="0" collapsed="false">
      <c r="A11" s="17" t="s">
        <v>406</v>
      </c>
      <c r="B11" s="17" t="s">
        <v>406</v>
      </c>
      <c r="C11" s="17" t="n">
        <v>692</v>
      </c>
      <c r="D11" s="17" t="n">
        <v>692</v>
      </c>
      <c r="E11" s="17" t="s">
        <v>394</v>
      </c>
      <c r="F11" s="17" t="n">
        <v>11</v>
      </c>
      <c r="G11" s="17" t="s">
        <v>395</v>
      </c>
      <c r="H11" s="17" t="n">
        <v>2000</v>
      </c>
      <c r="I11" s="17" t="n">
        <v>617</v>
      </c>
      <c r="J11" s="18" t="n">
        <f aca="false">IFERROR(F11/I11*100,"n/a")</f>
        <v>1.78282009724473</v>
      </c>
      <c r="K11" s="17" t="n">
        <v>8</v>
      </c>
      <c r="L11" s="17" t="n">
        <v>2022</v>
      </c>
      <c r="M11" s="17" t="n">
        <v>1533</v>
      </c>
      <c r="N11" s="18" t="n">
        <f aca="false">IFERROR(K11/M11*100,"n/a")</f>
        <v>0.521852576647097</v>
      </c>
      <c r="O11" s="17" t="n">
        <v>10</v>
      </c>
      <c r="P11" s="17" t="n">
        <v>0</v>
      </c>
      <c r="Q11" s="21" t="s">
        <v>9</v>
      </c>
      <c r="R11" s="17" t="n">
        <v>0</v>
      </c>
      <c r="S11" s="17" t="n">
        <v>0</v>
      </c>
      <c r="T11" s="17" t="n">
        <v>0</v>
      </c>
      <c r="U11" s="17" t="n">
        <v>0</v>
      </c>
      <c r="V11" s="17" t="n">
        <v>0</v>
      </c>
      <c r="W11" s="21" t="s">
        <v>9</v>
      </c>
      <c r="X11" s="21" t="s">
        <v>9</v>
      </c>
      <c r="Y11" s="21" t="s">
        <v>9</v>
      </c>
      <c r="Z11" s="17" t="n">
        <v>0</v>
      </c>
      <c r="AA11" s="17" t="n">
        <v>0</v>
      </c>
      <c r="AB11" s="17" t="n">
        <v>0</v>
      </c>
      <c r="AC11" s="17" t="n">
        <v>0</v>
      </c>
      <c r="AD11" s="17" t="n">
        <v>0</v>
      </c>
      <c r="AE11" s="17" t="n">
        <v>0</v>
      </c>
      <c r="AF11" s="17" t="n">
        <v>0</v>
      </c>
      <c r="AG11" s="17" t="n">
        <v>0</v>
      </c>
      <c r="AH11" s="17" t="n">
        <v>0</v>
      </c>
      <c r="AI11" s="17" t="n">
        <v>0</v>
      </c>
      <c r="AJ11" s="18" t="str">
        <f aca="false">IF(S11=0,"n/a",IFERROR(AE11/S11,"n/a"))</f>
        <v>n/a</v>
      </c>
      <c r="AK11" s="17" t="s">
        <v>373</v>
      </c>
      <c r="AL11" s="17"/>
      <c r="AM11" s="17" t="s">
        <v>407</v>
      </c>
      <c r="AN11" s="17" t="n">
        <v>5</v>
      </c>
      <c r="AO11" s="17" t="n">
        <v>13</v>
      </c>
      <c r="AP11" s="17" t="n">
        <v>1991</v>
      </c>
      <c r="AQ11" s="17" t="n">
        <v>2024</v>
      </c>
      <c r="AR11" s="17" t="n">
        <v>11</v>
      </c>
      <c r="AS11" s="17" t="n">
        <v>2024</v>
      </c>
      <c r="AT11" s="17" t="n">
        <v>2022</v>
      </c>
      <c r="AU11" s="21" t="n">
        <v>2003</v>
      </c>
      <c r="AV11" s="17" t="n">
        <v>2025</v>
      </c>
      <c r="AW11" s="19" t="s">
        <v>408</v>
      </c>
      <c r="AX11" s="20"/>
      <c r="AY11" s="20"/>
      <c r="AZ11" s="20" t="n">
        <v>0</v>
      </c>
      <c r="BA11" s="19"/>
    </row>
    <row r="12" customFormat="false" ht="15" hidden="false" customHeight="true" outlineLevel="0" collapsed="false">
      <c r="A12" s="17" t="s">
        <v>409</v>
      </c>
      <c r="B12" s="17" t="s">
        <v>409</v>
      </c>
      <c r="C12" s="17" t="n">
        <v>771</v>
      </c>
      <c r="D12" s="17" t="n">
        <v>771</v>
      </c>
      <c r="E12" s="17" t="s">
        <v>371</v>
      </c>
      <c r="F12" s="17" t="n">
        <v>157</v>
      </c>
      <c r="G12" s="17" t="s">
        <v>372</v>
      </c>
      <c r="H12" s="17" t="n">
        <v>2016</v>
      </c>
      <c r="I12" s="17" t="n">
        <v>162952</v>
      </c>
      <c r="J12" s="18" t="n">
        <f aca="false">IFERROR(F12/I12*100,"n/a")</f>
        <v>0.0963473906426432</v>
      </c>
      <c r="K12" s="17" t="n">
        <v>163</v>
      </c>
      <c r="L12" s="17" t="n">
        <v>2022</v>
      </c>
      <c r="M12" s="17" t="n">
        <v>169385</v>
      </c>
      <c r="N12" s="18" t="n">
        <f aca="false">IFERROR(K12/M12*100,"n/a")</f>
        <v>0.0962304808572188</v>
      </c>
      <c r="O12" s="17" t="n">
        <v>170</v>
      </c>
      <c r="P12" s="17" t="n">
        <v>0</v>
      </c>
      <c r="Q12" s="21" t="s">
        <v>9</v>
      </c>
      <c r="R12" s="17" t="n">
        <v>3</v>
      </c>
      <c r="S12" s="17" t="n">
        <v>21</v>
      </c>
      <c r="T12" s="17" t="n">
        <v>0</v>
      </c>
      <c r="U12" s="17" t="n">
        <v>21</v>
      </c>
      <c r="V12" s="17" t="n">
        <v>17</v>
      </c>
      <c r="W12" s="17" t="n">
        <v>1975</v>
      </c>
      <c r="X12" s="17" t="n">
        <v>2017</v>
      </c>
      <c r="Y12" s="17" t="n">
        <v>7</v>
      </c>
      <c r="Z12" s="17" t="n">
        <v>0</v>
      </c>
      <c r="AA12" s="17" t="n">
        <v>0</v>
      </c>
      <c r="AB12" s="17" t="n">
        <v>0</v>
      </c>
      <c r="AC12" s="17" t="n">
        <v>21</v>
      </c>
      <c r="AD12" s="17" t="n">
        <v>0</v>
      </c>
      <c r="AE12" s="17" t="n">
        <v>0</v>
      </c>
      <c r="AF12" s="17" t="n">
        <v>21</v>
      </c>
      <c r="AG12" s="17" t="n">
        <v>21</v>
      </c>
      <c r="AH12" s="17" t="n">
        <v>0</v>
      </c>
      <c r="AI12" s="17" t="n">
        <v>0</v>
      </c>
      <c r="AJ12" s="18" t="n">
        <f aca="false">IF(S12=0,"n/a",IFERROR(AE12/S12,"n/a"))</f>
        <v>0</v>
      </c>
      <c r="AK12" s="17" t="s">
        <v>373</v>
      </c>
      <c r="AL12" s="17"/>
      <c r="AM12" s="17" t="s">
        <v>410</v>
      </c>
      <c r="AN12" s="17" t="n">
        <v>8</v>
      </c>
      <c r="AO12" s="17" t="n">
        <v>13</v>
      </c>
      <c r="AP12" s="17" t="n">
        <v>1991</v>
      </c>
      <c r="AQ12" s="17" t="n">
        <v>2024</v>
      </c>
      <c r="AR12" s="17" t="n">
        <v>2</v>
      </c>
      <c r="AS12" s="17" t="n">
        <v>2024</v>
      </c>
      <c r="AT12" s="17" t="n">
        <v>2022</v>
      </c>
      <c r="AU12" s="21" t="n">
        <v>2003</v>
      </c>
      <c r="AV12" s="17" t="n">
        <v>2025</v>
      </c>
      <c r="AW12" s="19" t="s">
        <v>411</v>
      </c>
      <c r="AX12" s="20"/>
      <c r="AY12" s="20"/>
      <c r="AZ12" s="20" t="n">
        <v>0</v>
      </c>
      <c r="BA12" s="19" t="s">
        <v>389</v>
      </c>
    </row>
    <row r="13" customFormat="false" ht="15" hidden="false" customHeight="true" outlineLevel="0" collapsed="false">
      <c r="A13" s="17" t="s">
        <v>412</v>
      </c>
      <c r="B13" s="17" t="s">
        <v>412</v>
      </c>
      <c r="C13" s="17" t="n">
        <v>211</v>
      </c>
      <c r="D13" s="17" t="n">
        <v>211</v>
      </c>
      <c r="E13" s="17" t="s">
        <v>394</v>
      </c>
      <c r="F13" s="17" t="n">
        <v>115</v>
      </c>
      <c r="G13" s="17" t="s">
        <v>395</v>
      </c>
      <c r="H13" s="17" t="n">
        <v>1963</v>
      </c>
      <c r="I13" s="17" t="n">
        <v>9290</v>
      </c>
      <c r="J13" s="18" t="n">
        <f aca="false">IFERROR(F13/I13*100,"n/a")</f>
        <v>1.23789020452099</v>
      </c>
      <c r="K13" s="17" t="n">
        <v>23</v>
      </c>
      <c r="L13" s="17" t="n">
        <v>2022</v>
      </c>
      <c r="M13" s="17" t="n">
        <v>11642</v>
      </c>
      <c r="N13" s="18" t="n">
        <f aca="false">IFERROR(K13/M13*100,"n/a")</f>
        <v>0.197560556605394</v>
      </c>
      <c r="O13" s="17" t="n">
        <v>23</v>
      </c>
      <c r="P13" s="17" t="n">
        <v>97</v>
      </c>
      <c r="Q13" s="17" t="n">
        <v>1953</v>
      </c>
      <c r="R13" s="17" t="n">
        <v>0</v>
      </c>
      <c r="S13" s="17" t="n">
        <v>0</v>
      </c>
      <c r="T13" s="17" t="n">
        <v>0</v>
      </c>
      <c r="U13" s="17" t="n">
        <v>0</v>
      </c>
      <c r="V13" s="17" t="n">
        <v>0</v>
      </c>
      <c r="W13" s="21" t="s">
        <v>9</v>
      </c>
      <c r="X13" s="21" t="s">
        <v>9</v>
      </c>
      <c r="Y13" s="21" t="s">
        <v>9</v>
      </c>
      <c r="Z13" s="17" t="n">
        <v>0</v>
      </c>
      <c r="AA13" s="17" t="n">
        <v>0</v>
      </c>
      <c r="AB13" s="17" t="n">
        <v>0</v>
      </c>
      <c r="AC13" s="17" t="n">
        <v>0</v>
      </c>
      <c r="AD13" s="17" t="n">
        <v>0</v>
      </c>
      <c r="AE13" s="17" t="n">
        <v>0</v>
      </c>
      <c r="AF13" s="17" t="n">
        <v>0</v>
      </c>
      <c r="AG13" s="17" t="n">
        <v>0</v>
      </c>
      <c r="AH13" s="17" t="n">
        <v>0</v>
      </c>
      <c r="AI13" s="17" t="n">
        <v>0</v>
      </c>
      <c r="AJ13" s="18" t="str">
        <f aca="false">IF(S13=0,"n/a",IFERROR(AE13/S13,"n/a"))</f>
        <v>n/a</v>
      </c>
      <c r="AK13" s="17" t="s">
        <v>373</v>
      </c>
      <c r="AL13" s="17"/>
      <c r="AM13" s="17" t="s">
        <v>378</v>
      </c>
      <c r="AN13" s="17" t="n">
        <v>9</v>
      </c>
      <c r="AO13" s="17" t="n">
        <v>25</v>
      </c>
      <c r="AP13" s="17" t="n">
        <v>1951</v>
      </c>
      <c r="AQ13" s="17" t="n">
        <v>2023</v>
      </c>
      <c r="AR13" s="17" t="n">
        <v>19</v>
      </c>
      <c r="AS13" s="17" t="n">
        <v>2024</v>
      </c>
      <c r="AT13" s="17" t="n">
        <v>2022</v>
      </c>
      <c r="AU13" s="17" t="n">
        <v>2003</v>
      </c>
      <c r="AV13" s="17" t="n">
        <v>2025</v>
      </c>
      <c r="AW13" s="19" t="s">
        <v>413</v>
      </c>
      <c r="AX13" s="20"/>
      <c r="AY13" s="20"/>
      <c r="AZ13" s="20" t="n">
        <v>0</v>
      </c>
      <c r="BA13" s="19"/>
    </row>
    <row r="14" customFormat="false" ht="15" hidden="false" customHeight="true" outlineLevel="0" collapsed="false">
      <c r="A14" s="17" t="s">
        <v>414</v>
      </c>
      <c r="B14" s="17" t="s">
        <v>414</v>
      </c>
      <c r="C14" s="17" t="n">
        <v>434</v>
      </c>
      <c r="D14" s="17" t="n">
        <v>434</v>
      </c>
      <c r="E14" s="17" t="s">
        <v>371</v>
      </c>
      <c r="F14" s="17" t="n">
        <v>12</v>
      </c>
      <c r="G14" s="17" t="s">
        <v>372</v>
      </c>
      <c r="H14" s="17" t="n">
        <v>2022</v>
      </c>
      <c r="I14" s="17" t="n">
        <v>13760</v>
      </c>
      <c r="J14" s="18" t="n">
        <f aca="false">IFERROR(F14/I14*100,"n/a")</f>
        <v>0.0872093023255814</v>
      </c>
      <c r="K14" s="17" t="n">
        <v>12</v>
      </c>
      <c r="L14" s="17" t="n">
        <v>2022</v>
      </c>
      <c r="M14" s="17" t="n">
        <v>13760</v>
      </c>
      <c r="N14" s="18" t="n">
        <f aca="false">IFERROR(K14/M14*100,"n/a")</f>
        <v>0.0872093023255814</v>
      </c>
      <c r="O14" s="17" t="n">
        <v>12</v>
      </c>
      <c r="P14" s="21" t="s">
        <v>9</v>
      </c>
      <c r="Q14" s="21" t="s">
        <v>9</v>
      </c>
      <c r="R14" s="17" t="n">
        <v>1</v>
      </c>
      <c r="S14" s="17" t="n">
        <v>3</v>
      </c>
      <c r="T14" s="17" t="n">
        <v>0</v>
      </c>
      <c r="U14" s="17" t="n">
        <v>3</v>
      </c>
      <c r="V14" s="17" t="n">
        <v>3</v>
      </c>
      <c r="W14" s="17" t="n">
        <v>2022</v>
      </c>
      <c r="X14" s="17" t="n">
        <v>2024</v>
      </c>
      <c r="Y14" s="17" t="n">
        <v>0</v>
      </c>
      <c r="Z14" s="17" t="n">
        <v>0</v>
      </c>
      <c r="AA14" s="17" t="n">
        <v>0</v>
      </c>
      <c r="AB14" s="17" t="n">
        <v>0</v>
      </c>
      <c r="AC14" s="17" t="n">
        <v>3</v>
      </c>
      <c r="AD14" s="17" t="n">
        <v>0</v>
      </c>
      <c r="AE14" s="17" t="n">
        <v>0</v>
      </c>
      <c r="AF14" s="17" t="n">
        <v>0</v>
      </c>
      <c r="AG14" s="17" t="n">
        <v>0</v>
      </c>
      <c r="AH14" s="17" t="n">
        <v>0</v>
      </c>
      <c r="AI14" s="17" t="n">
        <v>0</v>
      </c>
      <c r="AJ14" s="18" t="n">
        <f aca="false">IF(S14=0,"n/a",IFERROR(AE14/S14,"n/a"))</f>
        <v>0</v>
      </c>
      <c r="AK14" s="17" t="s">
        <v>382</v>
      </c>
      <c r="AL14" s="17" t="n">
        <v>18</v>
      </c>
      <c r="AM14" s="17" t="s">
        <v>415</v>
      </c>
      <c r="AN14" s="17" t="n">
        <v>6</v>
      </c>
      <c r="AO14" s="17" t="n">
        <v>12</v>
      </c>
      <c r="AP14" s="17" t="n">
        <v>2013</v>
      </c>
      <c r="AQ14" s="17" t="n">
        <v>2024</v>
      </c>
      <c r="AR14" s="17" t="n">
        <v>1</v>
      </c>
      <c r="AS14" s="17" t="n">
        <v>2024</v>
      </c>
      <c r="AT14" s="17" t="n">
        <v>2022</v>
      </c>
      <c r="AU14" s="21" t="n">
        <v>2003</v>
      </c>
      <c r="AV14" s="17" t="n">
        <v>2025</v>
      </c>
      <c r="AW14" s="19" t="s">
        <v>416</v>
      </c>
      <c r="AX14" s="20"/>
      <c r="AY14" s="20"/>
      <c r="AZ14" s="20" t="n">
        <v>3</v>
      </c>
      <c r="BA14" s="19" t="s">
        <v>417</v>
      </c>
    </row>
    <row r="15" customFormat="false" ht="15" hidden="false" customHeight="true" outlineLevel="0" collapsed="false">
      <c r="A15" s="17" t="s">
        <v>418</v>
      </c>
      <c r="B15" s="17" t="s">
        <v>418</v>
      </c>
      <c r="C15" s="17" t="n">
        <v>760</v>
      </c>
      <c r="D15" s="17" t="n">
        <v>760</v>
      </c>
      <c r="E15" s="17" t="s">
        <v>394</v>
      </c>
      <c r="F15" s="17" t="n">
        <v>8</v>
      </c>
      <c r="G15" s="17" t="s">
        <v>395</v>
      </c>
      <c r="H15" s="17" t="n">
        <v>1996</v>
      </c>
      <c r="I15" s="17" t="n">
        <v>1812</v>
      </c>
      <c r="J15" s="18" t="n">
        <f aca="false">IFERROR(F15/I15*100,"n/a")</f>
        <v>0.441501103752759</v>
      </c>
      <c r="K15" s="17" t="n">
        <v>6</v>
      </c>
      <c r="L15" s="17" t="n">
        <v>2000</v>
      </c>
      <c r="M15" s="17" t="n">
        <v>2124</v>
      </c>
      <c r="N15" s="18" t="n">
        <f aca="false">IFERROR(K15/M15*100,"n/a")</f>
        <v>0.282485875706215</v>
      </c>
      <c r="O15" s="17" t="n">
        <v>8</v>
      </c>
      <c r="P15" s="17" t="n">
        <v>0</v>
      </c>
      <c r="Q15" s="21" t="s">
        <v>9</v>
      </c>
      <c r="R15" s="17" t="n">
        <v>0</v>
      </c>
      <c r="S15" s="17" t="n">
        <v>0</v>
      </c>
      <c r="T15" s="17" t="n">
        <v>0</v>
      </c>
      <c r="U15" s="17" t="n">
        <v>0</v>
      </c>
      <c r="V15" s="17" t="n">
        <v>0</v>
      </c>
      <c r="W15" s="21" t="s">
        <v>9</v>
      </c>
      <c r="X15" s="21" t="s">
        <v>9</v>
      </c>
      <c r="Y15" s="21" t="s">
        <v>9</v>
      </c>
      <c r="Z15" s="17" t="n">
        <v>0</v>
      </c>
      <c r="AA15" s="17" t="n">
        <v>0</v>
      </c>
      <c r="AB15" s="17" t="n">
        <v>0</v>
      </c>
      <c r="AC15" s="17" t="n">
        <v>0</v>
      </c>
      <c r="AD15" s="17" t="n">
        <v>0</v>
      </c>
      <c r="AE15" s="17" t="n">
        <v>0</v>
      </c>
      <c r="AF15" s="17" t="n">
        <v>0</v>
      </c>
      <c r="AG15" s="17" t="n">
        <v>0</v>
      </c>
      <c r="AH15" s="17" t="n">
        <v>0</v>
      </c>
      <c r="AI15" s="17" t="n">
        <v>0</v>
      </c>
      <c r="AJ15" s="18" t="str">
        <f aca="false">IF(S15=0,"n/a",IFERROR(AE15/S15,"n/a"))</f>
        <v>n/a</v>
      </c>
      <c r="AK15" s="17" t="s">
        <v>382</v>
      </c>
      <c r="AL15" s="17"/>
      <c r="AM15" s="17"/>
      <c r="AN15" s="17" t="n">
        <v>5</v>
      </c>
      <c r="AO15" s="17" t="n">
        <v>11</v>
      </c>
      <c r="AP15" s="17" t="n">
        <v>2014</v>
      </c>
      <c r="AQ15" s="17" t="n">
        <v>2024</v>
      </c>
      <c r="AR15" s="17" t="n">
        <v>1</v>
      </c>
      <c r="AS15" s="17" t="n">
        <v>2024</v>
      </c>
      <c r="AT15" s="17" t="n">
        <v>2000</v>
      </c>
      <c r="AU15" s="21" t="n">
        <v>2003</v>
      </c>
      <c r="AV15" s="17" t="n">
        <v>2025</v>
      </c>
      <c r="AW15" s="19" t="s">
        <v>419</v>
      </c>
      <c r="AX15" s="20"/>
      <c r="AY15" s="20" t="s">
        <v>385</v>
      </c>
      <c r="AZ15" s="20" t="n">
        <v>0</v>
      </c>
      <c r="BA15" s="19"/>
    </row>
    <row r="16" customFormat="false" ht="15" hidden="false" customHeight="true" outlineLevel="0" collapsed="false">
      <c r="A16" s="17" t="s">
        <v>420</v>
      </c>
      <c r="B16" s="17" t="s">
        <v>420</v>
      </c>
      <c r="C16" s="17" t="n">
        <v>145</v>
      </c>
      <c r="D16" s="17" t="n">
        <v>145</v>
      </c>
      <c r="E16" s="17" t="s">
        <v>371</v>
      </c>
      <c r="F16" s="17" t="n">
        <v>20</v>
      </c>
      <c r="G16" s="17" t="s">
        <v>372</v>
      </c>
      <c r="H16" s="17" t="n">
        <v>1967</v>
      </c>
      <c r="I16" s="17" t="n">
        <v>3927</v>
      </c>
      <c r="J16" s="18" t="n">
        <f aca="false">IFERROR(F16/I16*100,"n/a")</f>
        <v>0.509294626941686</v>
      </c>
      <c r="K16" s="17" t="n">
        <v>34</v>
      </c>
      <c r="L16" s="17" t="n">
        <v>2022</v>
      </c>
      <c r="M16" s="17" t="n">
        <v>12077</v>
      </c>
      <c r="N16" s="18" t="n">
        <f aca="false">IFERROR(K16/M16*100,"n/a")</f>
        <v>0.28152686925561</v>
      </c>
      <c r="O16" s="17" t="n">
        <v>35</v>
      </c>
      <c r="P16" s="17" t="n">
        <v>0</v>
      </c>
      <c r="Q16" s="21" t="s">
        <v>9</v>
      </c>
      <c r="R16" s="17" t="n">
        <v>1</v>
      </c>
      <c r="S16" s="17" t="n">
        <v>4</v>
      </c>
      <c r="T16" s="17" t="n">
        <v>1</v>
      </c>
      <c r="U16" s="17" t="n">
        <v>3</v>
      </c>
      <c r="V16" s="17" t="n">
        <v>1</v>
      </c>
      <c r="W16" s="17" t="n">
        <v>1946</v>
      </c>
      <c r="X16" s="17" t="n">
        <v>1967</v>
      </c>
      <c r="Y16" s="17" t="n">
        <v>57</v>
      </c>
      <c r="Z16" s="17" t="n">
        <v>0</v>
      </c>
      <c r="AA16" s="17" t="n">
        <v>0</v>
      </c>
      <c r="AB16" s="17" t="n">
        <v>0</v>
      </c>
      <c r="AC16" s="17" t="n">
        <v>4</v>
      </c>
      <c r="AD16" s="17" t="n">
        <v>0</v>
      </c>
      <c r="AE16" s="17" t="n">
        <v>0</v>
      </c>
      <c r="AF16" s="17" t="n">
        <v>4</v>
      </c>
      <c r="AG16" s="17" t="n">
        <v>4</v>
      </c>
      <c r="AH16" s="17" t="n">
        <v>0</v>
      </c>
      <c r="AI16" s="17" t="n">
        <v>0</v>
      </c>
      <c r="AJ16" s="18" t="n">
        <f aca="false">IF(S16=0,"n/a",IFERROR(AE16/S16,"n/a"))</f>
        <v>0</v>
      </c>
      <c r="AK16" s="17" t="s">
        <v>382</v>
      </c>
      <c r="AL16" s="17"/>
      <c r="AM16" s="17" t="s">
        <v>421</v>
      </c>
      <c r="AN16" s="17" t="n">
        <v>2</v>
      </c>
      <c r="AO16" s="17" t="n">
        <v>2</v>
      </c>
      <c r="AP16" s="17" t="n">
        <v>2015</v>
      </c>
      <c r="AQ16" s="17" t="n">
        <v>2022</v>
      </c>
      <c r="AR16" s="17" t="n">
        <v>0</v>
      </c>
      <c r="AS16" s="17" t="n">
        <v>2024</v>
      </c>
      <c r="AT16" s="17" t="n">
        <v>2022</v>
      </c>
      <c r="AU16" s="21" t="n">
        <v>2003</v>
      </c>
      <c r="AV16" s="17" t="n">
        <v>2025</v>
      </c>
      <c r="AW16" s="19" t="s">
        <v>422</v>
      </c>
      <c r="AX16" s="20"/>
      <c r="AY16" s="20" t="s">
        <v>385</v>
      </c>
      <c r="AZ16" s="20" t="n">
        <v>0</v>
      </c>
      <c r="BA16" s="19" t="s">
        <v>389</v>
      </c>
    </row>
    <row r="17" customFormat="false" ht="15" hidden="false" customHeight="true" outlineLevel="0" collapsed="false">
      <c r="A17" s="17" t="s">
        <v>423</v>
      </c>
      <c r="B17" s="17" t="s">
        <v>423</v>
      </c>
      <c r="C17" s="17" t="n">
        <v>346</v>
      </c>
      <c r="D17" s="17" t="n">
        <v>346</v>
      </c>
      <c r="E17" s="17" t="s">
        <v>371</v>
      </c>
      <c r="F17" s="17" t="n">
        <v>100</v>
      </c>
      <c r="G17" s="17" t="s">
        <v>372</v>
      </c>
      <c r="H17" s="17" t="n">
        <v>1995</v>
      </c>
      <c r="I17" s="17" t="n">
        <v>4484</v>
      </c>
      <c r="J17" s="18" t="n">
        <f aca="false">IFERROR(F17/I17*100,"n/a")</f>
        <v>2.23015165031222</v>
      </c>
      <c r="K17" s="17" t="n">
        <v>11</v>
      </c>
      <c r="L17" s="17" t="n">
        <v>2022</v>
      </c>
      <c r="M17" s="17" t="n">
        <v>3205</v>
      </c>
      <c r="N17" s="18" t="n">
        <f aca="false">IFERROR(K17/M17*100,"n/a")</f>
        <v>0.343213728549142</v>
      </c>
      <c r="O17" s="17" t="n">
        <v>10</v>
      </c>
      <c r="P17" s="17" t="n">
        <v>2850</v>
      </c>
      <c r="Q17" s="17" t="n">
        <v>1992</v>
      </c>
      <c r="R17" s="17" t="n">
        <v>3</v>
      </c>
      <c r="S17" s="17" t="n">
        <v>4</v>
      </c>
      <c r="T17" s="17" t="n">
        <v>4</v>
      </c>
      <c r="U17" s="17" t="n">
        <v>4</v>
      </c>
      <c r="V17" s="17" t="n">
        <v>4</v>
      </c>
      <c r="W17" s="17" t="n">
        <v>1992</v>
      </c>
      <c r="X17" s="17" t="n">
        <v>1995</v>
      </c>
      <c r="Y17" s="17" t="n">
        <v>29</v>
      </c>
      <c r="Z17" s="17" t="n">
        <v>0</v>
      </c>
      <c r="AA17" s="17" t="n">
        <v>0</v>
      </c>
      <c r="AB17" s="17" t="n">
        <v>2</v>
      </c>
      <c r="AC17" s="17" t="n">
        <v>4</v>
      </c>
      <c r="AD17" s="17" t="n">
        <v>0</v>
      </c>
      <c r="AE17" s="17" t="n">
        <v>0</v>
      </c>
      <c r="AF17" s="17" t="n">
        <v>4</v>
      </c>
      <c r="AG17" s="17" t="n">
        <v>4</v>
      </c>
      <c r="AH17" s="17" t="n">
        <v>0</v>
      </c>
      <c r="AI17" s="17" t="n">
        <v>0</v>
      </c>
      <c r="AJ17" s="18" t="n">
        <f aca="false">IF(S17=0,"n/a",IFERROR(AE17/S17,"n/a"))</f>
        <v>0</v>
      </c>
      <c r="AK17" s="17" t="s">
        <v>373</v>
      </c>
      <c r="AL17" s="17"/>
      <c r="AM17" s="17" t="s">
        <v>424</v>
      </c>
      <c r="AN17" s="17" t="n">
        <v>5</v>
      </c>
      <c r="AO17" s="17" t="n">
        <v>16</v>
      </c>
      <c r="AP17" s="17" t="n">
        <v>2005</v>
      </c>
      <c r="AQ17" s="17" t="n">
        <v>2021</v>
      </c>
      <c r="AR17" s="17" t="n">
        <v>10</v>
      </c>
      <c r="AS17" s="17" t="n">
        <v>2024</v>
      </c>
      <c r="AT17" s="17" t="n">
        <v>2022</v>
      </c>
      <c r="AU17" s="17" t="n">
        <v>2003</v>
      </c>
      <c r="AV17" s="17" t="n">
        <v>2025</v>
      </c>
      <c r="AW17" s="19"/>
      <c r="AX17" s="20"/>
      <c r="AY17" s="20"/>
      <c r="AZ17" s="20" t="n">
        <v>0</v>
      </c>
      <c r="BA17" s="19" t="s">
        <v>389</v>
      </c>
    </row>
    <row r="18" customFormat="false" ht="15" hidden="false" customHeight="true" outlineLevel="0" collapsed="false">
      <c r="A18" s="17" t="s">
        <v>425</v>
      </c>
      <c r="B18" s="17" t="s">
        <v>425</v>
      </c>
      <c r="C18" s="17" t="n">
        <v>571</v>
      </c>
      <c r="D18" s="17" t="n">
        <v>571</v>
      </c>
      <c r="E18" s="17" t="s">
        <v>394</v>
      </c>
      <c r="F18" s="17" t="n">
        <v>9</v>
      </c>
      <c r="G18" s="17" t="s">
        <v>395</v>
      </c>
      <c r="H18" s="17" t="n">
        <v>2000</v>
      </c>
      <c r="I18" s="17" t="n">
        <v>1622</v>
      </c>
      <c r="J18" s="18" t="n">
        <f aca="false">IFERROR(F18/I18*100,"n/a")</f>
        <v>0.554870530209618</v>
      </c>
      <c r="K18" s="17" t="n">
        <v>9</v>
      </c>
      <c r="L18" s="17" t="n">
        <v>2022</v>
      </c>
      <c r="M18" s="17" t="n">
        <v>2440</v>
      </c>
      <c r="N18" s="18" t="n">
        <f aca="false">IFERROR(K18/M18*100,"n/a")</f>
        <v>0.368852459016393</v>
      </c>
      <c r="O18" s="17" t="n">
        <v>10</v>
      </c>
      <c r="P18" s="17" t="n">
        <v>0</v>
      </c>
      <c r="Q18" s="21" t="s">
        <v>9</v>
      </c>
      <c r="R18" s="17" t="n">
        <v>0</v>
      </c>
      <c r="S18" s="17" t="n">
        <v>0</v>
      </c>
      <c r="T18" s="17" t="n">
        <v>0</v>
      </c>
      <c r="U18" s="17" t="n">
        <v>0</v>
      </c>
      <c r="V18" s="17" t="n">
        <v>0</v>
      </c>
      <c r="W18" s="21" t="s">
        <v>9</v>
      </c>
      <c r="X18" s="21" t="s">
        <v>9</v>
      </c>
      <c r="Y18" s="21" t="s">
        <v>9</v>
      </c>
      <c r="Z18" s="17" t="n">
        <v>0</v>
      </c>
      <c r="AA18" s="17" t="n">
        <v>0</v>
      </c>
      <c r="AB18" s="17" t="n">
        <v>0</v>
      </c>
      <c r="AC18" s="17" t="n">
        <v>0</v>
      </c>
      <c r="AD18" s="17" t="n">
        <v>0</v>
      </c>
      <c r="AE18" s="17" t="n">
        <v>0</v>
      </c>
      <c r="AF18" s="17" t="n">
        <v>0</v>
      </c>
      <c r="AG18" s="17" t="n">
        <v>0</v>
      </c>
      <c r="AH18" s="17" t="n">
        <v>0</v>
      </c>
      <c r="AI18" s="17" t="n">
        <v>0</v>
      </c>
      <c r="AJ18" s="18" t="str">
        <f aca="false">IF(S18=0,"n/a",IFERROR(AE18/S18,"n/a"))</f>
        <v>n/a</v>
      </c>
      <c r="AK18" s="17" t="s">
        <v>373</v>
      </c>
      <c r="AL18" s="17"/>
      <c r="AM18" s="17" t="s">
        <v>407</v>
      </c>
      <c r="AN18" s="17" t="n">
        <v>2</v>
      </c>
      <c r="AO18" s="17" t="n">
        <v>5</v>
      </c>
      <c r="AP18" s="17" t="n">
        <v>1998</v>
      </c>
      <c r="AQ18" s="17" t="n">
        <v>2024</v>
      </c>
      <c r="AR18" s="17" t="n">
        <v>0</v>
      </c>
      <c r="AS18" s="17" t="n">
        <v>2024</v>
      </c>
      <c r="AT18" s="17" t="n">
        <v>2022</v>
      </c>
      <c r="AU18" s="21" t="n">
        <v>2003</v>
      </c>
      <c r="AV18" s="17" t="n">
        <v>2025</v>
      </c>
      <c r="AW18" s="19" t="s">
        <v>426</v>
      </c>
      <c r="AX18" s="20"/>
      <c r="AY18" s="20"/>
      <c r="AZ18" s="20" t="n">
        <v>0</v>
      </c>
      <c r="BA18" s="19"/>
    </row>
    <row r="19" customFormat="false" ht="15" hidden="false" customHeight="true" outlineLevel="0" collapsed="false">
      <c r="A19" s="17" t="s">
        <v>427</v>
      </c>
      <c r="B19" s="17" t="s">
        <v>427</v>
      </c>
      <c r="C19" s="17" t="n">
        <v>140</v>
      </c>
      <c r="D19" s="17" t="n">
        <v>140</v>
      </c>
      <c r="E19" s="17" t="s">
        <v>394</v>
      </c>
      <c r="F19" s="17" t="n">
        <v>541</v>
      </c>
      <c r="G19" s="17" t="s">
        <v>395</v>
      </c>
      <c r="H19" s="17" t="n">
        <v>1987</v>
      </c>
      <c r="I19" s="17" t="n">
        <v>137268</v>
      </c>
      <c r="J19" s="18" t="n">
        <f aca="false">IFERROR(F19/I19*100,"n/a")</f>
        <v>0.394119532593175</v>
      </c>
      <c r="K19" s="17" t="n">
        <v>367</v>
      </c>
      <c r="L19" s="17" t="n">
        <v>2022</v>
      </c>
      <c r="M19" s="17" t="n">
        <v>210306</v>
      </c>
      <c r="N19" s="18" t="n">
        <f aca="false">IFERROR(K19/M19*100,"n/a")</f>
        <v>0.17450762222666</v>
      </c>
      <c r="O19" s="17" t="n">
        <v>360</v>
      </c>
      <c r="P19" s="17" t="n">
        <v>0</v>
      </c>
      <c r="Q19" s="21" t="s">
        <v>9</v>
      </c>
      <c r="R19" s="17" t="n">
        <v>0</v>
      </c>
      <c r="S19" s="17" t="n">
        <v>0</v>
      </c>
      <c r="T19" s="17" t="n">
        <v>0</v>
      </c>
      <c r="U19" s="17" t="n">
        <v>0</v>
      </c>
      <c r="V19" s="17" t="n">
        <v>0</v>
      </c>
      <c r="W19" s="21" t="s">
        <v>9</v>
      </c>
      <c r="X19" s="21" t="s">
        <v>9</v>
      </c>
      <c r="Y19" s="21" t="s">
        <v>9</v>
      </c>
      <c r="Z19" s="17" t="n">
        <v>0</v>
      </c>
      <c r="AA19" s="17" t="n">
        <v>0</v>
      </c>
      <c r="AB19" s="17" t="n">
        <v>0</v>
      </c>
      <c r="AC19" s="17" t="n">
        <v>0</v>
      </c>
      <c r="AD19" s="17" t="n">
        <v>0</v>
      </c>
      <c r="AE19" s="17" t="n">
        <v>0</v>
      </c>
      <c r="AF19" s="17" t="n">
        <v>0</v>
      </c>
      <c r="AG19" s="17" t="n">
        <v>0</v>
      </c>
      <c r="AH19" s="17" t="n">
        <v>0</v>
      </c>
      <c r="AI19" s="17" t="n">
        <v>0</v>
      </c>
      <c r="AJ19" s="18" t="str">
        <f aca="false">IF(S19=0,"n/a",IFERROR(AE19/S19,"n/a"))</f>
        <v>n/a</v>
      </c>
      <c r="AK19" s="17" t="s">
        <v>382</v>
      </c>
      <c r="AL19" s="17"/>
      <c r="AM19" s="17" t="s">
        <v>428</v>
      </c>
      <c r="AN19" s="17" t="n">
        <v>2</v>
      </c>
      <c r="AO19" s="17" t="n">
        <v>6</v>
      </c>
      <c r="AP19" s="17" t="n">
        <v>2014</v>
      </c>
      <c r="AQ19" s="17" t="n">
        <v>2023</v>
      </c>
      <c r="AR19" s="17" t="n">
        <v>0</v>
      </c>
      <c r="AS19" s="17" t="n">
        <v>2024</v>
      </c>
      <c r="AT19" s="17" t="n">
        <v>2022</v>
      </c>
      <c r="AU19" s="21" t="n">
        <v>2003</v>
      </c>
      <c r="AV19" s="17" t="n">
        <v>2025</v>
      </c>
      <c r="AW19" s="19" t="s">
        <v>429</v>
      </c>
      <c r="AX19" s="20"/>
      <c r="AY19" s="20" t="s">
        <v>385</v>
      </c>
      <c r="AZ19" s="20" t="n">
        <v>0</v>
      </c>
      <c r="BA19" s="19"/>
    </row>
    <row r="20" customFormat="false" ht="15" hidden="false" customHeight="true" outlineLevel="0" collapsed="false">
      <c r="A20" s="17" t="s">
        <v>430</v>
      </c>
      <c r="B20" s="17" t="s">
        <v>430</v>
      </c>
      <c r="C20" s="17" t="n">
        <v>355</v>
      </c>
      <c r="D20" s="17" t="n">
        <v>355</v>
      </c>
      <c r="E20" s="17" t="s">
        <v>394</v>
      </c>
      <c r="F20" s="17" t="n">
        <v>213</v>
      </c>
      <c r="G20" s="17" t="s">
        <v>395</v>
      </c>
      <c r="H20" s="17" t="n">
        <v>1954</v>
      </c>
      <c r="I20" s="17" t="n">
        <v>7423</v>
      </c>
      <c r="J20" s="18" t="n">
        <f aca="false">IFERROR(F20/I20*100,"n/a")</f>
        <v>2.86945978714805</v>
      </c>
      <c r="K20" s="17" t="n">
        <v>37</v>
      </c>
      <c r="L20" s="17" t="n">
        <v>2022</v>
      </c>
      <c r="M20" s="17" t="n">
        <v>6826</v>
      </c>
      <c r="N20" s="18" t="n">
        <f aca="false">IFERROR(K20/M20*100,"n/a")</f>
        <v>0.542045121593906</v>
      </c>
      <c r="O20" s="17" t="n">
        <v>28</v>
      </c>
      <c r="P20" s="17" t="n">
        <v>0</v>
      </c>
      <c r="Q20" s="21" t="s">
        <v>9</v>
      </c>
      <c r="R20" s="17" t="n">
        <v>0</v>
      </c>
      <c r="S20" s="17" t="n">
        <v>0</v>
      </c>
      <c r="T20" s="17" t="n">
        <v>0</v>
      </c>
      <c r="U20" s="17" t="n">
        <v>0</v>
      </c>
      <c r="V20" s="17" t="n">
        <v>0</v>
      </c>
      <c r="W20" s="21" t="s">
        <v>9</v>
      </c>
      <c r="X20" s="21" t="s">
        <v>9</v>
      </c>
      <c r="Y20" s="21" t="s">
        <v>9</v>
      </c>
      <c r="Z20" s="17" t="n">
        <v>0</v>
      </c>
      <c r="AA20" s="17" t="n">
        <v>0</v>
      </c>
      <c r="AB20" s="17" t="n">
        <v>0</v>
      </c>
      <c r="AC20" s="17" t="n">
        <v>0</v>
      </c>
      <c r="AD20" s="17" t="n">
        <v>0</v>
      </c>
      <c r="AE20" s="17" t="n">
        <v>0</v>
      </c>
      <c r="AF20" s="17" t="n">
        <v>0</v>
      </c>
      <c r="AG20" s="17" t="n">
        <v>0</v>
      </c>
      <c r="AH20" s="17" t="n">
        <v>0</v>
      </c>
      <c r="AI20" s="17" t="n">
        <v>0</v>
      </c>
      <c r="AJ20" s="18" t="str">
        <f aca="false">IF(S20=0,"n/a",IFERROR(AE20/S20,"n/a"))</f>
        <v>n/a</v>
      </c>
      <c r="AK20" s="17" t="s">
        <v>373</v>
      </c>
      <c r="AL20" s="17"/>
      <c r="AM20" s="17" t="s">
        <v>431</v>
      </c>
      <c r="AN20" s="17" t="n">
        <v>2</v>
      </c>
      <c r="AO20" s="17" t="n">
        <v>11</v>
      </c>
      <c r="AP20" s="17" t="n">
        <v>2004</v>
      </c>
      <c r="AQ20" s="17" t="n">
        <v>2014</v>
      </c>
      <c r="AR20" s="17" t="n">
        <v>11</v>
      </c>
      <c r="AS20" s="17" t="n">
        <v>2024</v>
      </c>
      <c r="AT20" s="17" t="n">
        <v>2022</v>
      </c>
      <c r="AU20" s="21" t="n">
        <v>2003</v>
      </c>
      <c r="AV20" s="17" t="n">
        <v>2025</v>
      </c>
      <c r="AW20" s="19" t="s">
        <v>432</v>
      </c>
      <c r="AX20" s="20"/>
      <c r="AY20" s="20"/>
      <c r="AZ20" s="20" t="n">
        <v>0</v>
      </c>
      <c r="BA20" s="19"/>
    </row>
    <row r="21" customFormat="false" ht="15" hidden="false" customHeight="true" outlineLevel="0" collapsed="false">
      <c r="A21" s="17" t="s">
        <v>433</v>
      </c>
      <c r="B21" s="17" t="s">
        <v>433</v>
      </c>
      <c r="C21" s="17" t="n">
        <v>439</v>
      </c>
      <c r="D21" s="17" t="n">
        <v>439</v>
      </c>
      <c r="E21" s="17" t="s">
        <v>371</v>
      </c>
      <c r="F21" s="17" t="n">
        <v>11</v>
      </c>
      <c r="G21" s="17" t="s">
        <v>372</v>
      </c>
      <c r="H21" s="17" t="n">
        <v>2018</v>
      </c>
      <c r="I21" s="17" t="n">
        <v>20438</v>
      </c>
      <c r="J21" s="18" t="n">
        <f aca="false">IFERROR(F21/I21*100,"n/a")</f>
        <v>0.0538213132400431</v>
      </c>
      <c r="K21" s="17" t="n">
        <v>7</v>
      </c>
      <c r="L21" s="17" t="n">
        <v>2022</v>
      </c>
      <c r="M21" s="17" t="n">
        <v>22509</v>
      </c>
      <c r="N21" s="18" t="n">
        <f aca="false">IFERROR(K21/M21*100,"n/a")</f>
        <v>0.0310986716424541</v>
      </c>
      <c r="O21" s="17"/>
      <c r="P21" s="17" t="n">
        <v>0</v>
      </c>
      <c r="Q21" s="21" t="s">
        <v>9</v>
      </c>
      <c r="R21" s="17" t="n">
        <v>3</v>
      </c>
      <c r="S21" s="17" t="n">
        <v>9</v>
      </c>
      <c r="T21" s="17" t="n">
        <v>3</v>
      </c>
      <c r="U21" s="17" t="n">
        <v>9</v>
      </c>
      <c r="V21" s="17" t="n">
        <v>7</v>
      </c>
      <c r="W21" s="17" t="n">
        <v>1985</v>
      </c>
      <c r="X21" s="17" t="n">
        <v>2024</v>
      </c>
      <c r="Y21" s="17" t="n">
        <v>0</v>
      </c>
      <c r="Z21" s="17" t="n">
        <v>1</v>
      </c>
      <c r="AA21" s="17" t="n">
        <v>1</v>
      </c>
      <c r="AB21" s="17" t="n">
        <v>7</v>
      </c>
      <c r="AC21" s="17" t="n">
        <v>3</v>
      </c>
      <c r="AD21" s="17" t="n">
        <v>0</v>
      </c>
      <c r="AE21" s="17" t="n">
        <v>1</v>
      </c>
      <c r="AF21" s="17" t="n">
        <v>8</v>
      </c>
      <c r="AG21" s="17" t="n">
        <v>9</v>
      </c>
      <c r="AH21" s="17" t="n">
        <v>0</v>
      </c>
      <c r="AI21" s="17" t="n">
        <v>0</v>
      </c>
      <c r="AJ21" s="18" t="n">
        <f aca="false">IF(S21=0,"n/a",IFERROR(AE21/S21,"n/a"))</f>
        <v>0.111111111111111</v>
      </c>
      <c r="AK21" s="17" t="s">
        <v>382</v>
      </c>
      <c r="AL21" s="17"/>
      <c r="AM21" s="17" t="s">
        <v>434</v>
      </c>
      <c r="AN21" s="17" t="n">
        <v>7</v>
      </c>
      <c r="AO21" s="17" t="n">
        <v>12</v>
      </c>
      <c r="AP21" s="17" t="n">
        <v>2013</v>
      </c>
      <c r="AQ21" s="17" t="n">
        <v>2024</v>
      </c>
      <c r="AR21" s="17" t="n">
        <v>1</v>
      </c>
      <c r="AS21" s="17" t="n">
        <v>2024</v>
      </c>
      <c r="AT21" s="17" t="n">
        <v>2022</v>
      </c>
      <c r="AU21" s="21" t="n">
        <v>2003</v>
      </c>
      <c r="AV21" s="17" t="n">
        <v>2025</v>
      </c>
      <c r="AW21" s="19" t="s">
        <v>435</v>
      </c>
      <c r="AX21" s="20"/>
      <c r="AY21" s="20" t="s">
        <v>385</v>
      </c>
      <c r="AZ21" s="20" t="n">
        <v>6</v>
      </c>
      <c r="BA21" s="19" t="s">
        <v>436</v>
      </c>
    </row>
    <row r="22" customFormat="false" ht="15" hidden="false" customHeight="true" outlineLevel="0" collapsed="false">
      <c r="A22" s="17" t="s">
        <v>437</v>
      </c>
      <c r="B22" s="17" t="s">
        <v>437</v>
      </c>
      <c r="C22" s="17" t="n">
        <v>516</v>
      </c>
      <c r="D22" s="17" t="n">
        <v>516</v>
      </c>
      <c r="E22" s="17" t="s">
        <v>371</v>
      </c>
      <c r="F22" s="17" t="n">
        <v>51</v>
      </c>
      <c r="G22" s="17" t="s">
        <v>372</v>
      </c>
      <c r="H22" s="17" t="n">
        <v>2005</v>
      </c>
      <c r="I22" s="17" t="n">
        <v>7770</v>
      </c>
      <c r="J22" s="18" t="n">
        <f aca="false">IFERROR(F22/I22*100,"n/a")</f>
        <v>0.656370656370656</v>
      </c>
      <c r="K22" s="17" t="n">
        <v>30</v>
      </c>
      <c r="L22" s="17" t="n">
        <v>2022</v>
      </c>
      <c r="M22" s="17" t="n">
        <v>13321</v>
      </c>
      <c r="N22" s="18" t="n">
        <f aca="false">IFERROR(K22/M22*100,"n/a")</f>
        <v>0.225208317693867</v>
      </c>
      <c r="O22" s="17" t="n">
        <v>30</v>
      </c>
      <c r="P22" s="17" t="n">
        <v>0</v>
      </c>
      <c r="Q22" s="21" t="s">
        <v>9</v>
      </c>
      <c r="R22" s="17" t="n">
        <v>1</v>
      </c>
      <c r="S22" s="17" t="n">
        <v>25</v>
      </c>
      <c r="T22" s="17" t="n">
        <v>4</v>
      </c>
      <c r="U22" s="17" t="n">
        <v>21</v>
      </c>
      <c r="V22" s="17" t="n">
        <v>13</v>
      </c>
      <c r="W22" s="17" t="n">
        <v>1965</v>
      </c>
      <c r="X22" s="17" t="n">
        <v>2024</v>
      </c>
      <c r="Y22" s="17" t="n">
        <v>0</v>
      </c>
      <c r="Z22" s="17" t="n">
        <v>0</v>
      </c>
      <c r="AA22" s="17" t="n">
        <v>0</v>
      </c>
      <c r="AB22" s="17" t="n">
        <v>6</v>
      </c>
      <c r="AC22" s="17" t="n">
        <v>19</v>
      </c>
      <c r="AD22" s="17" t="n">
        <v>0</v>
      </c>
      <c r="AE22" s="17" t="n">
        <v>0</v>
      </c>
      <c r="AF22" s="17" t="n">
        <v>25</v>
      </c>
      <c r="AG22" s="17" t="n">
        <v>25</v>
      </c>
      <c r="AH22" s="17" t="n">
        <v>0</v>
      </c>
      <c r="AI22" s="17" t="n">
        <v>0</v>
      </c>
      <c r="AJ22" s="18" t="n">
        <f aca="false">IF(S22=0,"n/a",IFERROR(AE22/S22,"n/a"))</f>
        <v>0</v>
      </c>
      <c r="AK22" s="17" t="s">
        <v>373</v>
      </c>
      <c r="AL22" s="17"/>
      <c r="AM22" s="17" t="s">
        <v>438</v>
      </c>
      <c r="AN22" s="17" t="n">
        <v>8</v>
      </c>
      <c r="AO22" s="17" t="n">
        <v>13</v>
      </c>
      <c r="AP22" s="17" t="n">
        <v>2012</v>
      </c>
      <c r="AQ22" s="17" t="n">
        <v>2024</v>
      </c>
      <c r="AR22" s="17" t="n">
        <v>12</v>
      </c>
      <c r="AS22" s="17" t="n">
        <v>2024</v>
      </c>
      <c r="AT22" s="17" t="n">
        <v>2022</v>
      </c>
      <c r="AU22" s="21" t="n">
        <v>2003</v>
      </c>
      <c r="AV22" s="17" t="n">
        <v>2025</v>
      </c>
      <c r="AW22" s="19" t="s">
        <v>439</v>
      </c>
      <c r="AX22" s="20"/>
      <c r="AY22" s="20"/>
      <c r="AZ22" s="20" t="n">
        <v>0</v>
      </c>
      <c r="BA22" s="19" t="s">
        <v>389</v>
      </c>
    </row>
    <row r="23" customFormat="false" ht="15" hidden="false" customHeight="true" outlineLevel="0" collapsed="false">
      <c r="A23" s="17" t="s">
        <v>440</v>
      </c>
      <c r="B23" s="17" t="s">
        <v>440</v>
      </c>
      <c r="C23" s="17" t="n">
        <v>811</v>
      </c>
      <c r="D23" s="17" t="n">
        <v>811</v>
      </c>
      <c r="E23" s="17" t="s">
        <v>371</v>
      </c>
      <c r="F23" s="17" t="n">
        <v>220</v>
      </c>
      <c r="G23" s="17" t="s">
        <v>372</v>
      </c>
      <c r="H23" s="17" t="n">
        <v>1974</v>
      </c>
      <c r="I23" s="17" t="n">
        <v>7152</v>
      </c>
      <c r="J23" s="18" t="n">
        <f aca="false">IFERROR(F23/I23*100,"n/a")</f>
        <v>3.07606263982103</v>
      </c>
      <c r="K23" s="17" t="n">
        <v>124</v>
      </c>
      <c r="L23" s="17" t="n">
        <v>2022</v>
      </c>
      <c r="M23" s="17" t="n">
        <v>17202</v>
      </c>
      <c r="N23" s="18" t="n">
        <f aca="false">IFERROR(K23/M23*100,"n/a")</f>
        <v>0.720846413207767</v>
      </c>
      <c r="O23" s="17"/>
      <c r="P23" s="17" t="n">
        <v>12500</v>
      </c>
      <c r="Q23" s="17" t="n">
        <v>1979</v>
      </c>
      <c r="R23" s="17" t="n">
        <v>3</v>
      </c>
      <c r="S23" s="17" t="n">
        <v>33</v>
      </c>
      <c r="T23" s="17" t="n">
        <v>8</v>
      </c>
      <c r="U23" s="17" t="n">
        <v>27</v>
      </c>
      <c r="V23" s="17" t="n">
        <v>32</v>
      </c>
      <c r="W23" s="17" t="n">
        <v>1967</v>
      </c>
      <c r="X23" s="17" t="n">
        <v>2011</v>
      </c>
      <c r="Y23" s="17" t="n">
        <v>13</v>
      </c>
      <c r="Z23" s="17" t="n">
        <v>5</v>
      </c>
      <c r="AA23" s="17" t="n">
        <v>5</v>
      </c>
      <c r="AB23" s="17" t="n">
        <v>18</v>
      </c>
      <c r="AC23" s="17" t="n">
        <v>12</v>
      </c>
      <c r="AD23" s="17" t="n">
        <v>0</v>
      </c>
      <c r="AE23" s="17" t="n">
        <v>5</v>
      </c>
      <c r="AF23" s="17" t="n">
        <v>30</v>
      </c>
      <c r="AG23" s="17" t="n">
        <v>33</v>
      </c>
      <c r="AH23" s="17" t="n">
        <v>0</v>
      </c>
      <c r="AI23" s="17" t="n">
        <v>0</v>
      </c>
      <c r="AJ23" s="18" t="n">
        <f aca="false">IF(S23=0,"n/a",IFERROR(AE23/S23,"n/a"))</f>
        <v>0.151515151515152</v>
      </c>
      <c r="AK23" s="17" t="s">
        <v>382</v>
      </c>
      <c r="AL23" s="17"/>
      <c r="AM23" s="17" t="s">
        <v>441</v>
      </c>
      <c r="AN23" s="17" t="n">
        <v>5</v>
      </c>
      <c r="AO23" s="17" t="n">
        <v>12</v>
      </c>
      <c r="AP23" s="17" t="n">
        <v>2013</v>
      </c>
      <c r="AQ23" s="17" t="n">
        <v>2024</v>
      </c>
      <c r="AR23" s="17" t="n">
        <v>1</v>
      </c>
      <c r="AS23" s="17" t="n">
        <v>2024</v>
      </c>
      <c r="AT23" s="17" t="n">
        <v>2022</v>
      </c>
      <c r="AU23" s="17" t="n">
        <v>2003</v>
      </c>
      <c r="AV23" s="17" t="n">
        <v>2025</v>
      </c>
      <c r="AW23" s="19" t="s">
        <v>442</v>
      </c>
      <c r="AX23" s="20"/>
      <c r="AY23" s="20" t="s">
        <v>385</v>
      </c>
      <c r="AZ23" s="20" t="n">
        <v>0</v>
      </c>
      <c r="BA23" s="19" t="s">
        <v>376</v>
      </c>
    </row>
    <row r="24" customFormat="false" ht="15" hidden="false" customHeight="true" outlineLevel="0" collapsed="false">
      <c r="A24" s="17" t="s">
        <v>443</v>
      </c>
      <c r="B24" s="17" t="s">
        <v>443</v>
      </c>
      <c r="C24" s="17" t="n">
        <v>471</v>
      </c>
      <c r="D24" s="17" t="n">
        <v>471</v>
      </c>
      <c r="E24" s="17" t="s">
        <v>371</v>
      </c>
      <c r="F24" s="17" t="n">
        <v>25</v>
      </c>
      <c r="G24" s="17" t="s">
        <v>372</v>
      </c>
      <c r="H24" s="17" t="n">
        <v>2020</v>
      </c>
      <c r="I24" s="17" t="n">
        <v>26211</v>
      </c>
      <c r="J24" s="18" t="n">
        <f aca="false">IFERROR(F24/I24*100,"n/a")</f>
        <v>0.0953798023730495</v>
      </c>
      <c r="K24" s="17" t="n">
        <v>25</v>
      </c>
      <c r="L24" s="17" t="n">
        <v>2022</v>
      </c>
      <c r="M24" s="17" t="n">
        <v>27633</v>
      </c>
      <c r="N24" s="18" t="n">
        <f aca="false">IFERROR(K24/M24*100,"n/a")</f>
        <v>0.090471537654254</v>
      </c>
      <c r="O24" s="17" t="n">
        <v>50</v>
      </c>
      <c r="P24" s="17" t="n">
        <v>0</v>
      </c>
      <c r="Q24" s="21" t="s">
        <v>9</v>
      </c>
      <c r="R24" s="17" t="n">
        <v>4</v>
      </c>
      <c r="S24" s="17" t="n">
        <v>14</v>
      </c>
      <c r="T24" s="17" t="n">
        <v>1</v>
      </c>
      <c r="U24" s="17" t="n">
        <v>13</v>
      </c>
      <c r="V24" s="17" t="n">
        <v>10</v>
      </c>
      <c r="W24" s="17" t="n">
        <v>1960</v>
      </c>
      <c r="X24" s="17" t="n">
        <v>2024</v>
      </c>
      <c r="Y24" s="17" t="n">
        <v>0</v>
      </c>
      <c r="Z24" s="17" t="n">
        <v>1</v>
      </c>
      <c r="AA24" s="17" t="n">
        <v>1</v>
      </c>
      <c r="AB24" s="17" t="n">
        <v>4</v>
      </c>
      <c r="AC24" s="17" t="n">
        <v>11</v>
      </c>
      <c r="AD24" s="17" t="n">
        <v>0</v>
      </c>
      <c r="AE24" s="17" t="n">
        <v>1</v>
      </c>
      <c r="AF24" s="17" t="n">
        <v>13</v>
      </c>
      <c r="AG24" s="17" t="n">
        <v>14</v>
      </c>
      <c r="AH24" s="17" t="n">
        <v>0</v>
      </c>
      <c r="AI24" s="17" t="n">
        <v>0</v>
      </c>
      <c r="AJ24" s="18" t="n">
        <f aca="false">IF(S24=0,"n/a",IFERROR(AE24/S24,"n/a"))</f>
        <v>0.0714285714285714</v>
      </c>
      <c r="AK24" s="17" t="s">
        <v>373</v>
      </c>
      <c r="AL24" s="17"/>
      <c r="AM24" s="17" t="s">
        <v>387</v>
      </c>
      <c r="AN24" s="17" t="n">
        <v>8</v>
      </c>
      <c r="AO24" s="17" t="n">
        <v>11</v>
      </c>
      <c r="AP24" s="17" t="n">
        <v>2014</v>
      </c>
      <c r="AQ24" s="17" t="n">
        <v>2024</v>
      </c>
      <c r="AR24" s="17" t="n">
        <v>9</v>
      </c>
      <c r="AS24" s="17" t="n">
        <v>2024</v>
      </c>
      <c r="AT24" s="17" t="n">
        <v>2022</v>
      </c>
      <c r="AU24" s="21" t="n">
        <v>2003</v>
      </c>
      <c r="AV24" s="17" t="n">
        <v>2025</v>
      </c>
      <c r="AW24" s="19" t="s">
        <v>444</v>
      </c>
      <c r="AX24" s="20"/>
      <c r="AY24" s="20"/>
      <c r="AZ24" s="20" t="n">
        <v>0</v>
      </c>
      <c r="BA24" s="19" t="s">
        <v>376</v>
      </c>
    </row>
    <row r="25" customFormat="false" ht="15" hidden="false" customHeight="true" outlineLevel="0" collapsed="false">
      <c r="A25" s="17" t="s">
        <v>445</v>
      </c>
      <c r="B25" s="17" t="s">
        <v>445</v>
      </c>
      <c r="C25" s="17" t="n">
        <v>20</v>
      </c>
      <c r="D25" s="17" t="n">
        <v>20</v>
      </c>
      <c r="E25" s="17" t="s">
        <v>394</v>
      </c>
      <c r="F25" s="17" t="n">
        <v>124</v>
      </c>
      <c r="G25" s="17" t="s">
        <v>395</v>
      </c>
      <c r="H25" s="17" t="n">
        <v>1961</v>
      </c>
      <c r="I25" s="17" t="n">
        <v>18238</v>
      </c>
      <c r="J25" s="18" t="n">
        <f aca="false">IFERROR(F25/I25*100,"n/a")</f>
        <v>0.679899111744709</v>
      </c>
      <c r="K25" s="17" t="n">
        <v>67</v>
      </c>
      <c r="L25" s="17" t="n">
        <v>2022</v>
      </c>
      <c r="M25" s="17" t="n">
        <v>38821</v>
      </c>
      <c r="N25" s="18" t="n">
        <f aca="false">IFERROR(K25/M25*100,"n/a")</f>
        <v>0.172587001880426</v>
      </c>
      <c r="O25" s="17" t="n">
        <v>75</v>
      </c>
      <c r="P25" s="17" t="n">
        <v>309</v>
      </c>
      <c r="Q25" s="17" t="n">
        <v>2001</v>
      </c>
      <c r="R25" s="17" t="n">
        <v>0</v>
      </c>
      <c r="S25" s="17" t="n">
        <v>0</v>
      </c>
      <c r="T25" s="17" t="n">
        <v>0</v>
      </c>
      <c r="U25" s="17" t="n">
        <v>0</v>
      </c>
      <c r="V25" s="17" t="n">
        <v>0</v>
      </c>
      <c r="W25" s="21" t="s">
        <v>9</v>
      </c>
      <c r="X25" s="21" t="s">
        <v>9</v>
      </c>
      <c r="Y25" s="21" t="s">
        <v>9</v>
      </c>
      <c r="Z25" s="17" t="n">
        <v>0</v>
      </c>
      <c r="AA25" s="17" t="n">
        <v>0</v>
      </c>
      <c r="AB25" s="17" t="n">
        <v>0</v>
      </c>
      <c r="AC25" s="17" t="n">
        <v>0</v>
      </c>
      <c r="AD25" s="17" t="n">
        <v>0</v>
      </c>
      <c r="AE25" s="17" t="n">
        <v>0</v>
      </c>
      <c r="AF25" s="17" t="n">
        <v>0</v>
      </c>
      <c r="AG25" s="17" t="n">
        <v>0</v>
      </c>
      <c r="AH25" s="17" t="n">
        <v>0</v>
      </c>
      <c r="AI25" s="17" t="n">
        <v>0</v>
      </c>
      <c r="AJ25" s="18" t="str">
        <f aca="false">IF(S25=0,"n/a",IFERROR(AE25/S25,"n/a"))</f>
        <v>n/a</v>
      </c>
      <c r="AK25" s="17" t="s">
        <v>373</v>
      </c>
      <c r="AL25" s="17"/>
      <c r="AM25" s="17" t="s">
        <v>378</v>
      </c>
      <c r="AN25" s="17" t="n">
        <v>9</v>
      </c>
      <c r="AO25" s="17" t="n">
        <v>29</v>
      </c>
      <c r="AP25" s="17" t="n">
        <v>1950</v>
      </c>
      <c r="AQ25" s="17" t="n">
        <v>2024</v>
      </c>
      <c r="AR25" s="17" t="n">
        <v>20</v>
      </c>
      <c r="AS25" s="17" t="n">
        <v>2024</v>
      </c>
      <c r="AT25" s="17" t="n">
        <v>2022</v>
      </c>
      <c r="AU25" s="17" t="n">
        <v>2003</v>
      </c>
      <c r="AV25" s="17" t="n">
        <v>2025</v>
      </c>
      <c r="AW25" s="19" t="s">
        <v>446</v>
      </c>
      <c r="AX25" s="20"/>
      <c r="AY25" s="20"/>
      <c r="AZ25" s="20" t="n">
        <v>0</v>
      </c>
      <c r="BA25" s="19"/>
    </row>
    <row r="26" customFormat="false" ht="15" hidden="false" customHeight="true" outlineLevel="0" collapsed="false">
      <c r="A26" s="17" t="s">
        <v>447</v>
      </c>
      <c r="B26" s="17" t="s">
        <v>447</v>
      </c>
      <c r="C26" s="17" t="n">
        <v>482</v>
      </c>
      <c r="D26" s="17" t="n">
        <v>482</v>
      </c>
      <c r="E26" s="17" t="s">
        <v>371</v>
      </c>
      <c r="F26" s="17" t="n">
        <v>9</v>
      </c>
      <c r="G26" s="17" t="s">
        <v>372</v>
      </c>
      <c r="H26" s="17" t="n">
        <v>2020</v>
      </c>
      <c r="I26" s="17" t="n">
        <v>5027</v>
      </c>
      <c r="J26" s="18" t="n">
        <f aca="false">IFERROR(F26/I26*100,"n/a")</f>
        <v>0.179033220608713</v>
      </c>
      <c r="K26" s="17" t="n">
        <v>9</v>
      </c>
      <c r="L26" s="17" t="n">
        <v>2022</v>
      </c>
      <c r="M26" s="17" t="n">
        <v>5098</v>
      </c>
      <c r="N26" s="18" t="n">
        <f aca="false">IFERROR(K26/M26*100,"n/a")</f>
        <v>0.176539819537073</v>
      </c>
      <c r="O26" s="17" t="n">
        <v>15</v>
      </c>
      <c r="P26" s="17" t="n">
        <v>0</v>
      </c>
      <c r="Q26" s="21" t="s">
        <v>9</v>
      </c>
      <c r="R26" s="17" t="n">
        <v>2</v>
      </c>
      <c r="S26" s="17" t="n">
        <v>18</v>
      </c>
      <c r="T26" s="17" t="n">
        <v>0</v>
      </c>
      <c r="U26" s="17" t="n">
        <v>18</v>
      </c>
      <c r="V26" s="17" t="n">
        <v>8</v>
      </c>
      <c r="W26" s="17" t="n">
        <v>2001</v>
      </c>
      <c r="X26" s="17" t="n">
        <v>2024</v>
      </c>
      <c r="Y26" s="17" t="n">
        <v>0</v>
      </c>
      <c r="Z26" s="17" t="n">
        <v>0</v>
      </c>
      <c r="AA26" s="17" t="n">
        <v>0</v>
      </c>
      <c r="AB26" s="17" t="n">
        <v>14</v>
      </c>
      <c r="AC26" s="17" t="n">
        <v>4</v>
      </c>
      <c r="AD26" s="17" t="n">
        <v>0</v>
      </c>
      <c r="AE26" s="17" t="n">
        <v>0</v>
      </c>
      <c r="AF26" s="17" t="n">
        <v>17</v>
      </c>
      <c r="AG26" s="17" t="n">
        <v>17</v>
      </c>
      <c r="AH26" s="17" t="n">
        <v>0</v>
      </c>
      <c r="AI26" s="17" t="n">
        <v>0</v>
      </c>
      <c r="AJ26" s="18" t="n">
        <f aca="false">IF(S26=0,"n/a",IFERROR(AE26/S26,"n/a"))</f>
        <v>0</v>
      </c>
      <c r="AK26" s="17" t="s">
        <v>373</v>
      </c>
      <c r="AL26" s="17"/>
      <c r="AM26" s="17"/>
      <c r="AN26" s="17" t="n">
        <v>1</v>
      </c>
      <c r="AO26" s="17" t="n">
        <v>4</v>
      </c>
      <c r="AP26" s="17" t="n">
        <v>2009</v>
      </c>
      <c r="AQ26" s="17" t="n">
        <v>2013</v>
      </c>
      <c r="AR26" s="17" t="n">
        <v>0</v>
      </c>
      <c r="AS26" s="17" t="n">
        <v>2024</v>
      </c>
      <c r="AT26" s="17" t="n">
        <v>2022</v>
      </c>
      <c r="AU26" s="21" t="n">
        <v>2003</v>
      </c>
      <c r="AV26" s="17" t="n">
        <v>2025</v>
      </c>
      <c r="AW26" s="19" t="s">
        <v>448</v>
      </c>
      <c r="AX26" s="20"/>
      <c r="AY26" s="20"/>
      <c r="AZ26" s="20" t="n">
        <v>2</v>
      </c>
      <c r="BA26" s="19" t="s">
        <v>449</v>
      </c>
    </row>
    <row r="27" customFormat="false" ht="15" hidden="false" customHeight="true" outlineLevel="0" collapsed="false">
      <c r="A27" s="17" t="s">
        <v>450</v>
      </c>
      <c r="B27" s="17" t="s">
        <v>450</v>
      </c>
      <c r="C27" s="17" t="n">
        <v>483</v>
      </c>
      <c r="D27" s="17" t="n">
        <v>483</v>
      </c>
      <c r="E27" s="17" t="s">
        <v>371</v>
      </c>
      <c r="F27" s="17" t="n">
        <v>50</v>
      </c>
      <c r="G27" s="17" t="s">
        <v>372</v>
      </c>
      <c r="H27" s="17" t="n">
        <v>1990</v>
      </c>
      <c r="I27" s="17" t="n">
        <v>5687</v>
      </c>
      <c r="J27" s="18" t="n">
        <f aca="false">IFERROR(F27/I27*100,"n/a")</f>
        <v>0.879198171267804</v>
      </c>
      <c r="K27" s="17" t="n">
        <v>33</v>
      </c>
      <c r="L27" s="17" t="n">
        <v>2022</v>
      </c>
      <c r="M27" s="17" t="n">
        <v>18455</v>
      </c>
      <c r="N27" s="18" t="n">
        <f aca="false">IFERROR(K27/M27*100,"n/a")</f>
        <v>0.178813329720943</v>
      </c>
      <c r="O27" s="17" t="n">
        <v>40</v>
      </c>
      <c r="P27" s="17" t="n">
        <v>1000</v>
      </c>
      <c r="Q27" s="17" t="n">
        <v>1987</v>
      </c>
      <c r="R27" s="17" t="n">
        <v>4</v>
      </c>
      <c r="S27" s="17" t="n">
        <v>45</v>
      </c>
      <c r="T27" s="17" t="n">
        <v>7</v>
      </c>
      <c r="U27" s="17" t="n">
        <v>38</v>
      </c>
      <c r="V27" s="17" t="n">
        <v>9</v>
      </c>
      <c r="W27" s="17" t="n">
        <v>1966</v>
      </c>
      <c r="X27" s="17" t="n">
        <v>2023</v>
      </c>
      <c r="Y27" s="17" t="n">
        <v>1</v>
      </c>
      <c r="Z27" s="17" t="n">
        <v>2</v>
      </c>
      <c r="AA27" s="17" t="n">
        <v>2</v>
      </c>
      <c r="AB27" s="17" t="n">
        <v>11</v>
      </c>
      <c r="AC27" s="17" t="n">
        <v>34</v>
      </c>
      <c r="AD27" s="17" t="n">
        <v>0</v>
      </c>
      <c r="AE27" s="17" t="n">
        <v>2</v>
      </c>
      <c r="AF27" s="17" t="n">
        <v>45</v>
      </c>
      <c r="AG27" s="17" t="n">
        <v>45</v>
      </c>
      <c r="AH27" s="17" t="n">
        <v>0</v>
      </c>
      <c r="AI27" s="17" t="n">
        <v>0</v>
      </c>
      <c r="AJ27" s="18" t="n">
        <f aca="false">IF(S27=0,"n/a",IFERROR(AE27/S27,"n/a"))</f>
        <v>0.0444444444444444</v>
      </c>
      <c r="AK27" s="17" t="s">
        <v>382</v>
      </c>
      <c r="AL27" s="17" t="n">
        <v>27</v>
      </c>
      <c r="AM27" s="17" t="s">
        <v>407</v>
      </c>
      <c r="AN27" s="17" t="n">
        <v>16</v>
      </c>
      <c r="AO27" s="17" t="n">
        <v>18</v>
      </c>
      <c r="AP27" s="17" t="n">
        <v>1997</v>
      </c>
      <c r="AQ27" s="17" t="n">
        <v>2024</v>
      </c>
      <c r="AR27" s="17" t="n">
        <v>12</v>
      </c>
      <c r="AS27" s="17" t="n">
        <v>2024</v>
      </c>
      <c r="AT27" s="17" t="n">
        <v>2022</v>
      </c>
      <c r="AU27" s="17" t="n">
        <v>2003</v>
      </c>
      <c r="AV27" s="17" t="n">
        <v>2025</v>
      </c>
      <c r="AW27" s="19" t="s">
        <v>451</v>
      </c>
      <c r="AX27" s="20"/>
      <c r="AY27" s="20"/>
      <c r="AZ27" s="20" t="n">
        <v>0</v>
      </c>
      <c r="BA27" s="19" t="s">
        <v>376</v>
      </c>
    </row>
    <row r="28" customFormat="false" ht="15" hidden="false" customHeight="true" outlineLevel="0" collapsed="false">
      <c r="A28" s="17" t="s">
        <v>452</v>
      </c>
      <c r="B28" s="17" t="s">
        <v>452</v>
      </c>
      <c r="C28" s="17" t="n">
        <v>155</v>
      </c>
      <c r="D28" s="17" t="n">
        <v>155</v>
      </c>
      <c r="E28" s="17" t="s">
        <v>371</v>
      </c>
      <c r="F28" s="17" t="n">
        <v>75</v>
      </c>
      <c r="G28" s="17" t="s">
        <v>372</v>
      </c>
      <c r="H28" s="17" t="n">
        <v>1973</v>
      </c>
      <c r="I28" s="17" t="n">
        <v>10020</v>
      </c>
      <c r="J28" s="18" t="n">
        <f aca="false">IFERROR(F28/I28*100,"n/a")</f>
        <v>0.748502994011976</v>
      </c>
      <c r="K28" s="17" t="n">
        <v>69</v>
      </c>
      <c r="L28" s="17" t="n">
        <v>2022</v>
      </c>
      <c r="M28" s="17" t="n">
        <v>19553</v>
      </c>
      <c r="N28" s="18" t="n">
        <f aca="false">IFERROR(K28/M28*100,"n/a")</f>
        <v>0.35288702500895</v>
      </c>
      <c r="O28" s="17" t="n">
        <v>70</v>
      </c>
      <c r="P28" s="17" t="n">
        <v>0</v>
      </c>
      <c r="Q28" s="21" t="s">
        <v>9</v>
      </c>
      <c r="R28" s="17" t="n">
        <v>1</v>
      </c>
      <c r="S28" s="17" t="n">
        <v>1</v>
      </c>
      <c r="T28" s="17" t="n">
        <v>0</v>
      </c>
      <c r="U28" s="17" t="n">
        <v>1</v>
      </c>
      <c r="V28" s="17" t="n">
        <v>1</v>
      </c>
      <c r="W28" s="17" t="n">
        <v>1973</v>
      </c>
      <c r="X28" s="17" t="n">
        <v>1973</v>
      </c>
      <c r="Y28" s="17" t="n">
        <v>51</v>
      </c>
      <c r="Z28" s="17" t="n">
        <v>0</v>
      </c>
      <c r="AA28" s="17" t="n">
        <v>0</v>
      </c>
      <c r="AB28" s="17" t="n">
        <v>0</v>
      </c>
      <c r="AC28" s="17" t="n">
        <v>1</v>
      </c>
      <c r="AD28" s="17" t="n">
        <v>0</v>
      </c>
      <c r="AE28" s="17" t="n">
        <v>0</v>
      </c>
      <c r="AF28" s="17" t="n">
        <v>1</v>
      </c>
      <c r="AG28" s="17" t="n">
        <v>1</v>
      </c>
      <c r="AH28" s="17" t="n">
        <v>0</v>
      </c>
      <c r="AI28" s="17" t="n">
        <v>0</v>
      </c>
      <c r="AJ28" s="18" t="n">
        <f aca="false">IF(S28=0,"n/a",IFERROR(AE28/S28,"n/a"))</f>
        <v>0</v>
      </c>
      <c r="AK28" s="17" t="s">
        <v>382</v>
      </c>
      <c r="AL28" s="17" t="n">
        <v>24</v>
      </c>
      <c r="AM28" s="17" t="s">
        <v>441</v>
      </c>
      <c r="AN28" s="17" t="n">
        <v>0</v>
      </c>
      <c r="AO28" s="17" t="n">
        <v>0</v>
      </c>
      <c r="AP28" s="21" t="s">
        <v>9</v>
      </c>
      <c r="AQ28" s="21" t="s">
        <v>9</v>
      </c>
      <c r="AR28" s="17" t="n">
        <v>0</v>
      </c>
      <c r="AS28" s="17" t="n">
        <v>2024</v>
      </c>
      <c r="AT28" s="17" t="n">
        <v>2022</v>
      </c>
      <c r="AU28" s="21" t="n">
        <v>2003</v>
      </c>
      <c r="AV28" s="17" t="n">
        <v>2025</v>
      </c>
      <c r="AW28" s="19" t="s">
        <v>453</v>
      </c>
      <c r="AX28" s="20"/>
      <c r="AY28" s="20"/>
      <c r="AZ28" s="20" t="n">
        <v>0</v>
      </c>
      <c r="BA28" s="19" t="s">
        <v>389</v>
      </c>
    </row>
    <row r="29" customFormat="false" ht="15" hidden="false" customHeight="true" outlineLevel="0" collapsed="false">
      <c r="A29" s="17" t="s">
        <v>454</v>
      </c>
      <c r="B29" s="17" t="s">
        <v>454</v>
      </c>
      <c r="C29" s="17" t="n">
        <v>710</v>
      </c>
      <c r="D29" s="17" t="n">
        <v>710</v>
      </c>
      <c r="E29" s="17" t="s">
        <v>371</v>
      </c>
      <c r="F29" s="17" t="n">
        <v>4750</v>
      </c>
      <c r="G29" s="17" t="s">
        <v>372</v>
      </c>
      <c r="H29" s="17" t="n">
        <v>1981</v>
      </c>
      <c r="I29" s="17" t="n">
        <v>1012409</v>
      </c>
      <c r="J29" s="18" t="n">
        <f aca="false">IFERROR(F29/I29*100,"n/a")</f>
        <v>0.46917797056328</v>
      </c>
      <c r="K29" s="17" t="n">
        <v>2035</v>
      </c>
      <c r="L29" s="17" t="n">
        <v>2022</v>
      </c>
      <c r="M29" s="17" t="n">
        <v>1433350</v>
      </c>
      <c r="N29" s="18" t="n">
        <f aca="false">IFERROR(K29/M29*100,"n/a")</f>
        <v>0.141975093312868</v>
      </c>
      <c r="O29" s="17" t="n">
        <v>2000</v>
      </c>
      <c r="P29" s="17" t="n">
        <v>439215</v>
      </c>
      <c r="Q29" s="17" t="n">
        <v>1987</v>
      </c>
      <c r="R29" s="17" t="n">
        <v>9</v>
      </c>
      <c r="S29" s="17" t="n">
        <v>24</v>
      </c>
      <c r="T29" s="17" t="n">
        <v>10</v>
      </c>
      <c r="U29" s="17" t="n">
        <v>14</v>
      </c>
      <c r="V29" s="17" t="n">
        <v>5</v>
      </c>
      <c r="W29" s="17" t="n">
        <v>1946</v>
      </c>
      <c r="X29" s="17" t="n">
        <v>2020</v>
      </c>
      <c r="Y29" s="17" t="n">
        <v>4</v>
      </c>
      <c r="Z29" s="17" t="n">
        <v>18</v>
      </c>
      <c r="AA29" s="17" t="n">
        <v>18</v>
      </c>
      <c r="AB29" s="17" t="n">
        <v>0</v>
      </c>
      <c r="AC29" s="17" t="n">
        <v>8</v>
      </c>
      <c r="AD29" s="17" t="n">
        <v>0</v>
      </c>
      <c r="AE29" s="17" t="n">
        <v>14</v>
      </c>
      <c r="AF29" s="17" t="n">
        <v>8</v>
      </c>
      <c r="AG29" s="17" t="n">
        <v>22</v>
      </c>
      <c r="AH29" s="17" t="n">
        <v>0</v>
      </c>
      <c r="AI29" s="17" t="n">
        <v>4</v>
      </c>
      <c r="AJ29" s="18" t="n">
        <f aca="false">IF(S29=0,"n/a",IFERROR(AE29/S29,"n/a"))</f>
        <v>0.583333333333333</v>
      </c>
      <c r="AK29" s="17" t="s">
        <v>382</v>
      </c>
      <c r="AL29" s="17" t="n">
        <v>24</v>
      </c>
      <c r="AM29" s="17" t="s">
        <v>441</v>
      </c>
      <c r="AN29" s="17" t="n">
        <v>6</v>
      </c>
      <c r="AO29" s="17" t="n">
        <v>16</v>
      </c>
      <c r="AP29" s="17" t="n">
        <v>1950</v>
      </c>
      <c r="AQ29" s="17" t="n">
        <v>2024</v>
      </c>
      <c r="AR29" s="17" t="n">
        <v>5</v>
      </c>
      <c r="AS29" s="17" t="n">
        <v>2024</v>
      </c>
      <c r="AT29" s="17" t="n">
        <v>2022</v>
      </c>
      <c r="AU29" s="17" t="n">
        <v>2003</v>
      </c>
      <c r="AV29" s="17" t="n">
        <v>2025</v>
      </c>
      <c r="AW29" s="19" t="s">
        <v>455</v>
      </c>
      <c r="AX29" s="20"/>
      <c r="AY29" s="20"/>
      <c r="AZ29" s="20" t="n">
        <v>0</v>
      </c>
      <c r="BA29" s="19" t="s">
        <v>376</v>
      </c>
    </row>
    <row r="30" customFormat="false" ht="15" hidden="false" customHeight="true" outlineLevel="0" collapsed="false">
      <c r="A30" s="17" t="s">
        <v>456</v>
      </c>
      <c r="B30" s="17" t="s">
        <v>456</v>
      </c>
      <c r="C30" s="17" t="n">
        <v>100</v>
      </c>
      <c r="D30" s="17" t="n">
        <v>100</v>
      </c>
      <c r="E30" s="17" t="s">
        <v>371</v>
      </c>
      <c r="F30" s="17" t="n">
        <v>297</v>
      </c>
      <c r="G30" s="17" t="s">
        <v>372</v>
      </c>
      <c r="H30" s="17" t="n">
        <v>2015</v>
      </c>
      <c r="I30" s="17" t="n">
        <v>48229</v>
      </c>
      <c r="J30" s="18" t="n">
        <f aca="false">IFERROR(F30/I30*100,"n/a")</f>
        <v>0.615812063281428</v>
      </c>
      <c r="K30" s="17" t="n">
        <v>256</v>
      </c>
      <c r="L30" s="17" t="n">
        <v>2022</v>
      </c>
      <c r="M30" s="17" t="n">
        <v>51738</v>
      </c>
      <c r="N30" s="18" t="n">
        <f aca="false">IFERROR(K30/M30*100,"n/a")</f>
        <v>0.494800726738567</v>
      </c>
      <c r="O30" s="17" t="n">
        <v>260</v>
      </c>
      <c r="P30" s="17" t="n">
        <v>140</v>
      </c>
      <c r="Q30" s="17" t="n">
        <v>1953</v>
      </c>
      <c r="R30" s="17" t="n">
        <v>1</v>
      </c>
      <c r="S30" s="17" t="n">
        <v>60</v>
      </c>
      <c r="T30" s="17" t="n">
        <v>11</v>
      </c>
      <c r="U30" s="17" t="n">
        <v>49</v>
      </c>
      <c r="V30" s="17" t="n">
        <v>53</v>
      </c>
      <c r="W30" s="17" t="n">
        <v>1964</v>
      </c>
      <c r="X30" s="17" t="n">
        <v>2024</v>
      </c>
      <c r="Y30" s="17" t="n">
        <v>0</v>
      </c>
      <c r="Z30" s="17" t="n">
        <v>0</v>
      </c>
      <c r="AA30" s="17" t="n">
        <v>0</v>
      </c>
      <c r="AB30" s="17" t="n">
        <v>0</v>
      </c>
      <c r="AC30" s="17" t="n">
        <v>60</v>
      </c>
      <c r="AD30" s="17" t="n">
        <v>0</v>
      </c>
      <c r="AE30" s="17" t="n">
        <v>0</v>
      </c>
      <c r="AF30" s="17" t="n">
        <v>60</v>
      </c>
      <c r="AG30" s="17" t="n">
        <v>60</v>
      </c>
      <c r="AH30" s="17" t="n">
        <v>0</v>
      </c>
      <c r="AI30" s="17" t="n">
        <v>0</v>
      </c>
      <c r="AJ30" s="18" t="n">
        <f aca="false">IF(S30=0,"n/a",IFERROR(AE30/S30,"n/a"))</f>
        <v>0</v>
      </c>
      <c r="AK30" s="17" t="s">
        <v>382</v>
      </c>
      <c r="AL30" s="17" t="n">
        <v>18</v>
      </c>
      <c r="AM30" s="17" t="s">
        <v>457</v>
      </c>
      <c r="AN30" s="17" t="n">
        <v>2</v>
      </c>
      <c r="AO30" s="17" t="n">
        <v>4</v>
      </c>
      <c r="AP30" s="17" t="n">
        <v>1951</v>
      </c>
      <c r="AQ30" s="17" t="n">
        <v>2022</v>
      </c>
      <c r="AR30" s="17" t="n">
        <v>3</v>
      </c>
      <c r="AS30" s="17" t="n">
        <v>2024</v>
      </c>
      <c r="AT30" s="17" t="n">
        <v>2022</v>
      </c>
      <c r="AU30" s="17" t="n">
        <v>2003</v>
      </c>
      <c r="AV30" s="17" t="n">
        <v>2025</v>
      </c>
      <c r="AW30" s="19" t="s">
        <v>458</v>
      </c>
      <c r="AX30" s="20"/>
      <c r="AY30" s="20"/>
      <c r="AZ30" s="20" t="n">
        <v>0</v>
      </c>
      <c r="BA30" s="19" t="s">
        <v>389</v>
      </c>
    </row>
    <row r="31" customFormat="false" ht="15" hidden="false" customHeight="true" outlineLevel="0" collapsed="false">
      <c r="A31" s="17" t="s">
        <v>459</v>
      </c>
      <c r="B31" s="17" t="s">
        <v>459</v>
      </c>
      <c r="C31" s="17" t="n">
        <v>581</v>
      </c>
      <c r="D31" s="17" t="n">
        <v>581</v>
      </c>
      <c r="E31" s="17" t="s">
        <v>371</v>
      </c>
      <c r="F31" s="17" t="n">
        <v>1</v>
      </c>
      <c r="G31" s="17" t="s">
        <v>372</v>
      </c>
      <c r="H31" s="17" t="n">
        <v>1989</v>
      </c>
      <c r="I31" s="17" t="n">
        <v>507</v>
      </c>
      <c r="J31" s="18" t="n">
        <f aca="false">IFERROR(F31/I31*100,"n/a")</f>
        <v>0.19723865877712</v>
      </c>
      <c r="K31" s="17" t="n">
        <v>1</v>
      </c>
      <c r="L31" s="17" t="n">
        <v>1992</v>
      </c>
      <c r="M31" s="17" t="n">
        <v>557</v>
      </c>
      <c r="N31" s="18" t="n">
        <f aca="false">IFERROR(K31/M31*100,"n/a")</f>
        <v>0.179533213644524</v>
      </c>
      <c r="O31" s="17"/>
      <c r="P31" s="17" t="n">
        <v>0</v>
      </c>
      <c r="Q31" s="21" t="s">
        <v>9</v>
      </c>
      <c r="R31" s="17" t="n">
        <v>2</v>
      </c>
      <c r="S31" s="17" t="n">
        <v>2</v>
      </c>
      <c r="T31" s="17" t="n">
        <v>0</v>
      </c>
      <c r="U31" s="17" t="n">
        <v>2</v>
      </c>
      <c r="V31" s="17" t="n">
        <v>1</v>
      </c>
      <c r="W31" s="17" t="n">
        <v>1989</v>
      </c>
      <c r="X31" s="17" t="n">
        <v>1997</v>
      </c>
      <c r="Y31" s="17" t="n">
        <v>27</v>
      </c>
      <c r="Z31" s="17" t="n">
        <v>0</v>
      </c>
      <c r="AA31" s="17" t="n">
        <v>0</v>
      </c>
      <c r="AB31" s="17" t="n">
        <v>0</v>
      </c>
      <c r="AC31" s="17" t="n">
        <v>2</v>
      </c>
      <c r="AD31" s="17" t="n">
        <v>0</v>
      </c>
      <c r="AE31" s="17" t="n">
        <v>0</v>
      </c>
      <c r="AF31" s="17" t="n">
        <v>2</v>
      </c>
      <c r="AG31" s="17" t="n">
        <v>2</v>
      </c>
      <c r="AH31" s="17" t="n">
        <v>0</v>
      </c>
      <c r="AI31" s="17" t="n">
        <v>0</v>
      </c>
      <c r="AJ31" s="18" t="n">
        <f aca="false">IF(S31=0,"n/a",IFERROR(AE31/S31,"n/a"))</f>
        <v>0</v>
      </c>
      <c r="AK31" s="17" t="s">
        <v>373</v>
      </c>
      <c r="AL31" s="17"/>
      <c r="AM31" s="17"/>
      <c r="AN31" s="17" t="n">
        <v>0</v>
      </c>
      <c r="AO31" s="17" t="n">
        <v>0</v>
      </c>
      <c r="AP31" s="21" t="s">
        <v>9</v>
      </c>
      <c r="AQ31" s="21" t="s">
        <v>9</v>
      </c>
      <c r="AR31" s="17" t="n">
        <v>0</v>
      </c>
      <c r="AS31" s="17" t="n">
        <v>2024</v>
      </c>
      <c r="AT31" s="17" t="n">
        <v>1992</v>
      </c>
      <c r="AU31" s="21" t="n">
        <v>2003</v>
      </c>
      <c r="AV31" s="17" t="n">
        <v>2023</v>
      </c>
      <c r="AW31" s="19" t="s">
        <v>460</v>
      </c>
      <c r="AX31" s="20"/>
      <c r="AY31" s="20"/>
      <c r="AZ31" s="20" t="n">
        <v>0</v>
      </c>
      <c r="BA31" s="19" t="s">
        <v>389</v>
      </c>
    </row>
    <row r="32" customFormat="false" ht="15" hidden="false" customHeight="true" outlineLevel="0" collapsed="false">
      <c r="A32" s="17" t="s">
        <v>461</v>
      </c>
      <c r="B32" s="17" t="s">
        <v>461</v>
      </c>
      <c r="C32" s="17" t="n">
        <v>484</v>
      </c>
      <c r="D32" s="17" t="n">
        <v>484</v>
      </c>
      <c r="E32" s="17" t="s">
        <v>371</v>
      </c>
      <c r="F32" s="17" t="n">
        <v>10</v>
      </c>
      <c r="G32" s="17" t="s">
        <v>372</v>
      </c>
      <c r="H32" s="17" t="n">
        <v>1993</v>
      </c>
      <c r="I32" s="17" t="n">
        <v>2444</v>
      </c>
      <c r="J32" s="18" t="n">
        <f aca="false">IFERROR(F32/I32*100,"n/a")</f>
        <v>0.409165302782324</v>
      </c>
      <c r="K32" s="17" t="n">
        <v>10</v>
      </c>
      <c r="L32" s="17" t="n">
        <v>2022</v>
      </c>
      <c r="M32" s="17" t="n">
        <v>6035</v>
      </c>
      <c r="N32" s="18" t="n">
        <f aca="false">IFERROR(K32/M32*100,"n/a")</f>
        <v>0.165700082850041</v>
      </c>
      <c r="O32" s="17" t="n">
        <v>14</v>
      </c>
      <c r="P32" s="17" t="n">
        <v>0</v>
      </c>
      <c r="Q32" s="21" t="s">
        <v>9</v>
      </c>
      <c r="R32" s="17" t="n">
        <v>1</v>
      </c>
      <c r="S32" s="17" t="n">
        <v>6</v>
      </c>
      <c r="T32" s="17" t="n">
        <v>2</v>
      </c>
      <c r="U32" s="17" t="n">
        <v>4</v>
      </c>
      <c r="V32" s="17" t="n">
        <v>3</v>
      </c>
      <c r="W32" s="17" t="n">
        <v>1993</v>
      </c>
      <c r="X32" s="17" t="n">
        <v>2016</v>
      </c>
      <c r="Y32" s="17" t="n">
        <v>8</v>
      </c>
      <c r="Z32" s="17" t="n">
        <v>0</v>
      </c>
      <c r="AA32" s="17" t="n">
        <v>0</v>
      </c>
      <c r="AB32" s="17" t="n">
        <v>4</v>
      </c>
      <c r="AC32" s="17" t="n">
        <v>2</v>
      </c>
      <c r="AD32" s="17" t="n">
        <v>0</v>
      </c>
      <c r="AE32" s="17" t="n">
        <v>0</v>
      </c>
      <c r="AF32" s="17" t="n">
        <v>6</v>
      </c>
      <c r="AG32" s="17" t="n">
        <v>6</v>
      </c>
      <c r="AH32" s="17" t="n">
        <v>0</v>
      </c>
      <c r="AI32" s="17" t="n">
        <v>0</v>
      </c>
      <c r="AJ32" s="18" t="n">
        <f aca="false">IF(S32=0,"n/a",IFERROR(AE32/S32,"n/a"))</f>
        <v>0</v>
      </c>
      <c r="AK32" s="17" t="s">
        <v>373</v>
      </c>
      <c r="AL32" s="17"/>
      <c r="AM32" s="17" t="s">
        <v>421</v>
      </c>
      <c r="AN32" s="17" t="n">
        <v>3</v>
      </c>
      <c r="AO32" s="17" t="n">
        <v>11</v>
      </c>
      <c r="AP32" s="17" t="n">
        <v>2014</v>
      </c>
      <c r="AQ32" s="17" t="n">
        <v>2024</v>
      </c>
      <c r="AR32" s="17" t="n">
        <v>0</v>
      </c>
      <c r="AS32" s="17" t="n">
        <v>2024</v>
      </c>
      <c r="AT32" s="17" t="n">
        <v>2022</v>
      </c>
      <c r="AU32" s="21" t="n">
        <v>2003</v>
      </c>
      <c r="AV32" s="17" t="n">
        <v>2025</v>
      </c>
      <c r="AW32" s="19"/>
      <c r="AX32" s="20"/>
      <c r="AY32" s="20"/>
      <c r="AZ32" s="20" t="n">
        <v>0</v>
      </c>
      <c r="BA32" s="19" t="s">
        <v>389</v>
      </c>
    </row>
    <row r="33" customFormat="false" ht="15" hidden="false" customHeight="true" outlineLevel="0" collapsed="false">
      <c r="A33" s="17" t="s">
        <v>462</v>
      </c>
      <c r="B33" s="17" t="s">
        <v>462</v>
      </c>
      <c r="C33" s="17" t="n">
        <v>490</v>
      </c>
      <c r="D33" s="17" t="n">
        <v>490</v>
      </c>
      <c r="E33" s="17" t="s">
        <v>371</v>
      </c>
      <c r="F33" s="17" t="n">
        <v>159</v>
      </c>
      <c r="G33" s="17" t="s">
        <v>372</v>
      </c>
      <c r="H33" s="17" t="n">
        <v>2011</v>
      </c>
      <c r="I33" s="17" t="n">
        <v>63932</v>
      </c>
      <c r="J33" s="18" t="n">
        <f aca="false">IFERROR(F33/I33*100,"n/a")</f>
        <v>0.248701745604705</v>
      </c>
      <c r="K33" s="17" t="n">
        <v>134</v>
      </c>
      <c r="L33" s="17" t="n">
        <v>2022</v>
      </c>
      <c r="M33" s="17" t="n">
        <v>102397</v>
      </c>
      <c r="N33" s="18" t="n">
        <f aca="false">IFERROR(K33/M33*100,"n/a")</f>
        <v>0.130863208883073</v>
      </c>
      <c r="O33" s="17" t="n">
        <v>150</v>
      </c>
      <c r="P33" s="17" t="n">
        <v>100</v>
      </c>
      <c r="Q33" s="17" t="n">
        <v>1976</v>
      </c>
      <c r="R33" s="17" t="n">
        <v>5</v>
      </c>
      <c r="S33" s="17" t="n">
        <v>31</v>
      </c>
      <c r="T33" s="17" t="n">
        <v>9</v>
      </c>
      <c r="U33" s="17" t="n">
        <v>24</v>
      </c>
      <c r="V33" s="17" t="n">
        <v>9</v>
      </c>
      <c r="W33" s="17" t="n">
        <v>1960</v>
      </c>
      <c r="X33" s="17" t="n">
        <v>2024</v>
      </c>
      <c r="Y33" s="17" t="n">
        <v>0</v>
      </c>
      <c r="Z33" s="17" t="n">
        <v>0</v>
      </c>
      <c r="AA33" s="17" t="n">
        <v>0</v>
      </c>
      <c r="AB33" s="17" t="n">
        <v>18</v>
      </c>
      <c r="AC33" s="17" t="n">
        <v>13</v>
      </c>
      <c r="AD33" s="17" t="n">
        <v>0</v>
      </c>
      <c r="AE33" s="17" t="n">
        <v>0</v>
      </c>
      <c r="AF33" s="17" t="n">
        <v>31</v>
      </c>
      <c r="AG33" s="17" t="n">
        <v>31</v>
      </c>
      <c r="AH33" s="17" t="n">
        <v>0</v>
      </c>
      <c r="AI33" s="17" t="n">
        <v>0</v>
      </c>
      <c r="AJ33" s="18" t="n">
        <f aca="false">IF(S33=0,"n/a",IFERROR(AE33/S33,"n/a"))</f>
        <v>0</v>
      </c>
      <c r="AK33" s="17" t="s">
        <v>382</v>
      </c>
      <c r="AL33" s="17"/>
      <c r="AM33" s="17"/>
      <c r="AN33" s="17" t="n">
        <v>10</v>
      </c>
      <c r="AO33" s="17" t="n">
        <v>20</v>
      </c>
      <c r="AP33" s="17" t="n">
        <v>1975</v>
      </c>
      <c r="AQ33" s="17" t="n">
        <v>2024</v>
      </c>
      <c r="AR33" s="17" t="n">
        <v>4</v>
      </c>
      <c r="AS33" s="17" t="n">
        <v>2024</v>
      </c>
      <c r="AT33" s="17" t="n">
        <v>2022</v>
      </c>
      <c r="AU33" s="17" t="n">
        <v>2003</v>
      </c>
      <c r="AV33" s="17" t="n">
        <v>2025</v>
      </c>
      <c r="AW33" s="19" t="s">
        <v>463</v>
      </c>
      <c r="AX33" s="20"/>
      <c r="AY33" s="20" t="s">
        <v>385</v>
      </c>
      <c r="AZ33" s="20" t="n">
        <v>8</v>
      </c>
      <c r="BA33" s="19" t="s">
        <v>449</v>
      </c>
    </row>
    <row r="34" customFormat="false" ht="15" hidden="false" customHeight="true" outlineLevel="0" collapsed="false">
      <c r="A34" s="17" t="s">
        <v>464</v>
      </c>
      <c r="B34" s="17" t="s">
        <v>464</v>
      </c>
      <c r="C34" s="17" t="n">
        <v>94</v>
      </c>
      <c r="D34" s="17" t="n">
        <v>94</v>
      </c>
      <c r="E34" s="17" t="s">
        <v>371</v>
      </c>
      <c r="F34" s="17" t="n">
        <v>1</v>
      </c>
      <c r="G34" s="17" t="s">
        <v>372</v>
      </c>
      <c r="H34" s="17" t="n">
        <v>1948</v>
      </c>
      <c r="I34" s="17" t="n">
        <v>750</v>
      </c>
      <c r="J34" s="18" t="n">
        <f aca="false">IFERROR(F34/I34*100,"n/a")</f>
        <v>0.133333333333333</v>
      </c>
      <c r="K34" s="17" t="n">
        <v>0</v>
      </c>
      <c r="L34" s="17" t="n">
        <v>2022</v>
      </c>
      <c r="M34" s="17" t="n">
        <v>5082</v>
      </c>
      <c r="N34" s="18" t="n">
        <f aca="false">IFERROR(K34/M34*100,"n/a")</f>
        <v>0</v>
      </c>
      <c r="O34" s="17"/>
      <c r="P34" s="17" t="n">
        <v>0</v>
      </c>
      <c r="Q34" s="21" t="s">
        <v>9</v>
      </c>
      <c r="R34" s="17" t="n">
        <v>1</v>
      </c>
      <c r="S34" s="17" t="n">
        <v>1</v>
      </c>
      <c r="T34" s="17" t="n">
        <v>1</v>
      </c>
      <c r="U34" s="17" t="n">
        <v>0</v>
      </c>
      <c r="V34" s="17" t="n">
        <v>1</v>
      </c>
      <c r="W34" s="17" t="n">
        <v>1948</v>
      </c>
      <c r="X34" s="17" t="n">
        <v>1948</v>
      </c>
      <c r="Y34" s="17" t="n">
        <v>76</v>
      </c>
      <c r="Z34" s="17" t="n">
        <v>0</v>
      </c>
      <c r="AA34" s="17" t="n">
        <v>0</v>
      </c>
      <c r="AB34" s="17" t="n">
        <v>0</v>
      </c>
      <c r="AC34" s="17" t="n">
        <v>1</v>
      </c>
      <c r="AD34" s="17" t="n">
        <v>0</v>
      </c>
      <c r="AE34" s="17" t="n">
        <v>0</v>
      </c>
      <c r="AF34" s="17" t="n">
        <v>1</v>
      </c>
      <c r="AG34" s="17" t="n">
        <v>1</v>
      </c>
      <c r="AH34" s="17" t="n">
        <v>0</v>
      </c>
      <c r="AI34" s="17" t="n">
        <v>0</v>
      </c>
      <c r="AJ34" s="18" t="n">
        <f aca="false">IF(S34=0,"n/a",IFERROR(AE34/S34,"n/a"))</f>
        <v>0</v>
      </c>
      <c r="AK34" s="17"/>
      <c r="AL34" s="17"/>
      <c r="AM34" s="17" t="s">
        <v>391</v>
      </c>
      <c r="AN34" s="17" t="n">
        <v>0</v>
      </c>
      <c r="AO34" s="17" t="n">
        <v>0</v>
      </c>
      <c r="AP34" s="21" t="s">
        <v>9</v>
      </c>
      <c r="AQ34" s="21" t="s">
        <v>9</v>
      </c>
      <c r="AR34" s="17" t="n">
        <v>0</v>
      </c>
      <c r="AS34" s="17" t="n">
        <v>2024</v>
      </c>
      <c r="AT34" s="17" t="n">
        <v>2022</v>
      </c>
      <c r="AU34" s="21" t="n">
        <v>2003</v>
      </c>
      <c r="AV34" s="17" t="n">
        <v>2025</v>
      </c>
      <c r="AW34" s="19"/>
      <c r="AX34" s="20"/>
      <c r="AY34" s="20"/>
      <c r="AZ34" s="20" t="n">
        <v>0</v>
      </c>
      <c r="BA34" s="19" t="s">
        <v>389</v>
      </c>
    </row>
    <row r="35" customFormat="false" ht="15" hidden="false" customHeight="true" outlineLevel="0" collapsed="false">
      <c r="A35" s="17" t="s">
        <v>465</v>
      </c>
      <c r="B35" s="17" t="s">
        <v>465</v>
      </c>
      <c r="C35" s="17" t="n">
        <v>437</v>
      </c>
      <c r="D35" s="17" t="n">
        <v>437</v>
      </c>
      <c r="E35" s="17" t="s">
        <v>371</v>
      </c>
      <c r="F35" s="17" t="n">
        <v>17</v>
      </c>
      <c r="G35" s="17" t="s">
        <v>372</v>
      </c>
      <c r="H35" s="17" t="n">
        <v>2002</v>
      </c>
      <c r="I35" s="17" t="n">
        <v>16675</v>
      </c>
      <c r="J35" s="18" t="n">
        <f aca="false">IFERROR(F35/I35*100,"n/a")</f>
        <v>0.101949025487256</v>
      </c>
      <c r="K35" s="17" t="n">
        <v>27</v>
      </c>
      <c r="L35" s="17" t="n">
        <v>2022</v>
      </c>
      <c r="M35" s="17" t="n">
        <v>30395</v>
      </c>
      <c r="N35" s="18" t="n">
        <f aca="false">IFERROR(K35/M35*100,"n/a")</f>
        <v>0.0888303997367988</v>
      </c>
      <c r="O35" s="17" t="n">
        <v>30</v>
      </c>
      <c r="P35" s="17" t="n">
        <v>0</v>
      </c>
      <c r="Q35" s="21" t="s">
        <v>9</v>
      </c>
      <c r="R35" s="17" t="n">
        <v>1</v>
      </c>
      <c r="S35" s="17" t="n">
        <v>4</v>
      </c>
      <c r="T35" s="17" t="n">
        <v>0</v>
      </c>
      <c r="U35" s="17" t="n">
        <v>4</v>
      </c>
      <c r="V35" s="17" t="n">
        <v>3</v>
      </c>
      <c r="W35" s="17" t="n">
        <v>2002</v>
      </c>
      <c r="X35" s="17" t="n">
        <v>2011</v>
      </c>
      <c r="Y35" s="17" t="n">
        <v>13</v>
      </c>
      <c r="Z35" s="17" t="n">
        <v>0</v>
      </c>
      <c r="AA35" s="17" t="n">
        <v>0</v>
      </c>
      <c r="AB35" s="17" t="n">
        <v>0</v>
      </c>
      <c r="AC35" s="17" t="n">
        <v>4</v>
      </c>
      <c r="AD35" s="17" t="n">
        <v>0</v>
      </c>
      <c r="AE35" s="17" t="n">
        <v>0</v>
      </c>
      <c r="AF35" s="17" t="n">
        <v>4</v>
      </c>
      <c r="AG35" s="17" t="n">
        <v>4</v>
      </c>
      <c r="AH35" s="17" t="n">
        <v>0</v>
      </c>
      <c r="AI35" s="17" t="n">
        <v>0</v>
      </c>
      <c r="AJ35" s="18" t="n">
        <f aca="false">IF(S35=0,"n/a",IFERROR(AE35/S35,"n/a"))</f>
        <v>0</v>
      </c>
      <c r="AK35" s="17" t="s">
        <v>382</v>
      </c>
      <c r="AL35" s="17"/>
      <c r="AM35" s="17"/>
      <c r="AN35" s="17" t="n">
        <v>6</v>
      </c>
      <c r="AO35" s="17" t="n">
        <v>12</v>
      </c>
      <c r="AP35" s="17" t="n">
        <v>2013</v>
      </c>
      <c r="AQ35" s="17" t="n">
        <v>2024</v>
      </c>
      <c r="AR35" s="17" t="n">
        <v>1</v>
      </c>
      <c r="AS35" s="17" t="n">
        <v>2024</v>
      </c>
      <c r="AT35" s="17" t="n">
        <v>2022</v>
      </c>
      <c r="AU35" s="21" t="n">
        <v>2003</v>
      </c>
      <c r="AV35" s="17" t="n">
        <v>2025</v>
      </c>
      <c r="AW35" s="19" t="s">
        <v>466</v>
      </c>
      <c r="AX35" s="20"/>
      <c r="AY35" s="20" t="s">
        <v>385</v>
      </c>
      <c r="AZ35" s="20" t="n">
        <v>0</v>
      </c>
      <c r="BA35" s="19" t="s">
        <v>389</v>
      </c>
    </row>
    <row r="36" customFormat="false" ht="15" hidden="false" customHeight="true" outlineLevel="0" collapsed="false">
      <c r="A36" s="17" t="s">
        <v>467</v>
      </c>
      <c r="B36" s="17" t="s">
        <v>467</v>
      </c>
      <c r="C36" s="17" t="n">
        <v>344</v>
      </c>
      <c r="D36" s="17" t="n">
        <v>344</v>
      </c>
      <c r="E36" s="17" t="s">
        <v>371</v>
      </c>
      <c r="F36" s="17" t="n">
        <v>103</v>
      </c>
      <c r="G36" s="17" t="s">
        <v>372</v>
      </c>
      <c r="H36" s="17" t="n">
        <v>1992</v>
      </c>
      <c r="I36" s="17" t="n">
        <v>4470</v>
      </c>
      <c r="J36" s="18" t="n">
        <f aca="false">IFERROR(F36/I36*100,"n/a")</f>
        <v>2.30425055928412</v>
      </c>
      <c r="K36" s="17" t="n">
        <v>17</v>
      </c>
      <c r="L36" s="17" t="n">
        <v>2022</v>
      </c>
      <c r="M36" s="17" t="n">
        <v>3907</v>
      </c>
      <c r="N36" s="18" t="n">
        <f aca="false">IFERROR(K36/M36*100,"n/a")</f>
        <v>0.435116457640133</v>
      </c>
      <c r="O36" s="17" t="n">
        <v>15</v>
      </c>
      <c r="P36" s="17" t="n">
        <v>500</v>
      </c>
      <c r="Q36" s="17" t="n">
        <v>1992</v>
      </c>
      <c r="R36" s="17" t="n">
        <v>1</v>
      </c>
      <c r="S36" s="17" t="n">
        <v>4</v>
      </c>
      <c r="T36" s="17" t="n">
        <v>2</v>
      </c>
      <c r="U36" s="17" t="n">
        <v>2</v>
      </c>
      <c r="V36" s="17" t="n">
        <v>4</v>
      </c>
      <c r="W36" s="17" t="n">
        <v>1992</v>
      </c>
      <c r="X36" s="17" t="n">
        <v>1995</v>
      </c>
      <c r="Y36" s="17" t="n">
        <v>29</v>
      </c>
      <c r="Z36" s="17" t="n">
        <v>0</v>
      </c>
      <c r="AA36" s="17" t="n">
        <v>0</v>
      </c>
      <c r="AB36" s="17" t="n">
        <v>2</v>
      </c>
      <c r="AC36" s="17" t="n">
        <v>2</v>
      </c>
      <c r="AD36" s="17" t="n">
        <v>0</v>
      </c>
      <c r="AE36" s="17" t="n">
        <v>0</v>
      </c>
      <c r="AF36" s="17" t="n">
        <v>4</v>
      </c>
      <c r="AG36" s="17" t="n">
        <v>4</v>
      </c>
      <c r="AH36" s="17" t="n">
        <v>0</v>
      </c>
      <c r="AI36" s="17" t="n">
        <v>0</v>
      </c>
      <c r="AJ36" s="18" t="n">
        <f aca="false">IF(S36=0,"n/a",IFERROR(AE36/S36,"n/a"))</f>
        <v>0</v>
      </c>
      <c r="AK36" s="17" t="s">
        <v>382</v>
      </c>
      <c r="AL36" s="17"/>
      <c r="AM36" s="17" t="s">
        <v>378</v>
      </c>
      <c r="AN36" s="17" t="n">
        <v>3</v>
      </c>
      <c r="AO36" s="17" t="n">
        <v>11</v>
      </c>
      <c r="AP36" s="17" t="n">
        <v>1993</v>
      </c>
      <c r="AQ36" s="17" t="n">
        <v>2014</v>
      </c>
      <c r="AR36" s="17" t="n">
        <v>10</v>
      </c>
      <c r="AS36" s="17" t="n">
        <v>2024</v>
      </c>
      <c r="AT36" s="17" t="n">
        <v>2022</v>
      </c>
      <c r="AU36" s="17" t="n">
        <v>2003</v>
      </c>
      <c r="AV36" s="17" t="n">
        <v>2025</v>
      </c>
      <c r="AW36" s="19" t="s">
        <v>468</v>
      </c>
      <c r="AX36" s="20"/>
      <c r="AY36" s="20" t="s">
        <v>385</v>
      </c>
      <c r="AZ36" s="20" t="n">
        <v>0</v>
      </c>
      <c r="BA36" s="19" t="s">
        <v>389</v>
      </c>
    </row>
    <row r="37" customFormat="false" ht="15" hidden="false" customHeight="true" outlineLevel="0" collapsed="false">
      <c r="A37" s="17" t="s">
        <v>469</v>
      </c>
      <c r="B37" s="17" t="s">
        <v>469</v>
      </c>
      <c r="C37" s="17" t="n">
        <v>40</v>
      </c>
      <c r="D37" s="17" t="n">
        <v>40</v>
      </c>
      <c r="E37" s="17" t="s">
        <v>371</v>
      </c>
      <c r="F37" s="17" t="n">
        <v>270</v>
      </c>
      <c r="G37" s="17" t="s">
        <v>372</v>
      </c>
      <c r="H37" s="17" t="n">
        <v>1961</v>
      </c>
      <c r="I37" s="17" t="n">
        <v>7134</v>
      </c>
      <c r="J37" s="18" t="n">
        <f aca="false">IFERROR(F37/I37*100,"n/a")</f>
        <v>3.78469301934399</v>
      </c>
      <c r="K37" s="17" t="n">
        <v>49</v>
      </c>
      <c r="L37" s="17" t="n">
        <v>2022</v>
      </c>
      <c r="M37" s="17" t="n">
        <v>11060</v>
      </c>
      <c r="N37" s="18" t="n">
        <f aca="false">IFERROR(K37/M37*100,"n/a")</f>
        <v>0.443037974683544</v>
      </c>
      <c r="O37" s="17" t="n">
        <v>50</v>
      </c>
      <c r="P37" s="17" t="n">
        <v>2200</v>
      </c>
      <c r="Q37" s="17" t="n">
        <v>1978</v>
      </c>
      <c r="R37" s="17" t="n">
        <v>1</v>
      </c>
      <c r="S37" s="17" t="n">
        <v>5</v>
      </c>
      <c r="T37" s="17" t="n">
        <v>1</v>
      </c>
      <c r="U37" s="17" t="n">
        <v>4</v>
      </c>
      <c r="V37" s="17" t="n">
        <v>3</v>
      </c>
      <c r="W37" s="17" t="n">
        <v>1953</v>
      </c>
      <c r="X37" s="17" t="n">
        <v>1961</v>
      </c>
      <c r="Y37" s="17" t="n">
        <v>63</v>
      </c>
      <c r="Z37" s="17" t="n">
        <v>0</v>
      </c>
      <c r="AA37" s="17" t="n">
        <v>0</v>
      </c>
      <c r="AB37" s="17" t="n">
        <v>1</v>
      </c>
      <c r="AC37" s="17" t="n">
        <v>4</v>
      </c>
      <c r="AD37" s="17" t="n">
        <v>0</v>
      </c>
      <c r="AE37" s="17" t="n">
        <v>0</v>
      </c>
      <c r="AF37" s="17" t="n">
        <v>5</v>
      </c>
      <c r="AG37" s="17" t="n">
        <v>5</v>
      </c>
      <c r="AH37" s="17" t="n">
        <v>0</v>
      </c>
      <c r="AI37" s="17" t="n">
        <v>0</v>
      </c>
      <c r="AJ37" s="18" t="n">
        <f aca="false">IF(S37=0,"n/a",IFERROR(AE37/S37,"n/a"))</f>
        <v>0</v>
      </c>
      <c r="AK37" s="17" t="s">
        <v>373</v>
      </c>
      <c r="AL37" s="17" t="n">
        <v>24</v>
      </c>
      <c r="AM37" s="17" t="s">
        <v>470</v>
      </c>
      <c r="AN37" s="17" t="n">
        <v>5</v>
      </c>
      <c r="AO37" s="17" t="n">
        <v>15</v>
      </c>
      <c r="AP37" s="17" t="n">
        <v>1975</v>
      </c>
      <c r="AQ37" s="17" t="n">
        <v>1989</v>
      </c>
      <c r="AR37" s="17" t="n">
        <v>15</v>
      </c>
      <c r="AS37" s="17" t="n">
        <v>2024</v>
      </c>
      <c r="AT37" s="17" t="n">
        <v>2022</v>
      </c>
      <c r="AU37" s="17" t="n">
        <v>2003</v>
      </c>
      <c r="AV37" s="17" t="n">
        <v>2025</v>
      </c>
      <c r="AW37" s="19" t="s">
        <v>471</v>
      </c>
      <c r="AX37" s="20"/>
      <c r="AY37" s="20" t="s">
        <v>472</v>
      </c>
      <c r="AZ37" s="20" t="n">
        <v>0</v>
      </c>
      <c r="BA37" s="19" t="s">
        <v>389</v>
      </c>
    </row>
    <row r="38" customFormat="false" ht="15" hidden="false" customHeight="true" outlineLevel="0" collapsed="false">
      <c r="A38" s="17" t="s">
        <v>473</v>
      </c>
      <c r="B38" s="17" t="s">
        <v>473</v>
      </c>
      <c r="C38" s="17" t="n">
        <v>352</v>
      </c>
      <c r="D38" s="17" t="n">
        <v>352</v>
      </c>
      <c r="E38" s="17" t="s">
        <v>371</v>
      </c>
      <c r="F38" s="17" t="n">
        <v>11</v>
      </c>
      <c r="G38" s="17" t="s">
        <v>372</v>
      </c>
      <c r="H38" s="17" t="n">
        <v>1974</v>
      </c>
      <c r="I38" s="17" t="n">
        <v>641</v>
      </c>
      <c r="J38" s="18" t="n">
        <f aca="false">IFERROR(F38/I38*100,"n/a")</f>
        <v>1.71606864274571</v>
      </c>
      <c r="K38" s="17" t="n">
        <v>12</v>
      </c>
      <c r="L38" s="17" t="n">
        <v>2022</v>
      </c>
      <c r="M38" s="17" t="n">
        <v>1331</v>
      </c>
      <c r="N38" s="18" t="n">
        <f aca="false">IFERROR(K38/M38*100,"n/a")</f>
        <v>0.901577761081893</v>
      </c>
      <c r="O38" s="17" t="n">
        <v>15</v>
      </c>
      <c r="P38" s="17" t="n">
        <v>500</v>
      </c>
      <c r="Q38" s="17" t="n">
        <v>1974</v>
      </c>
      <c r="R38" s="17" t="n">
        <v>1</v>
      </c>
      <c r="S38" s="17" t="n">
        <v>1</v>
      </c>
      <c r="T38" s="17" t="n">
        <v>1</v>
      </c>
      <c r="U38" s="17" t="n">
        <v>0</v>
      </c>
      <c r="V38" s="17" t="n">
        <v>1</v>
      </c>
      <c r="W38" s="17" t="n">
        <v>1974</v>
      </c>
      <c r="X38" s="17" t="n">
        <v>1974</v>
      </c>
      <c r="Y38" s="17" t="n">
        <v>50</v>
      </c>
      <c r="Z38" s="17" t="n">
        <v>1</v>
      </c>
      <c r="AA38" s="17" t="n">
        <v>1</v>
      </c>
      <c r="AB38" s="17" t="n">
        <v>0</v>
      </c>
      <c r="AC38" s="17" t="n">
        <v>0</v>
      </c>
      <c r="AD38" s="17" t="n">
        <v>0</v>
      </c>
      <c r="AE38" s="17" t="n">
        <v>1</v>
      </c>
      <c r="AF38" s="17" t="n">
        <v>0</v>
      </c>
      <c r="AG38" s="17" t="n">
        <v>1</v>
      </c>
      <c r="AH38" s="17" t="n">
        <v>0</v>
      </c>
      <c r="AI38" s="17" t="n">
        <v>0</v>
      </c>
      <c r="AJ38" s="18" t="n">
        <f aca="false">IF(S38=0,"n/a",IFERROR(AE38/S38,"n/a"))</f>
        <v>1</v>
      </c>
      <c r="AK38" s="17" t="s">
        <v>382</v>
      </c>
      <c r="AL38" s="17" t="n">
        <v>6</v>
      </c>
      <c r="AM38" s="17" t="s">
        <v>474</v>
      </c>
      <c r="AN38" s="17" t="n">
        <v>0</v>
      </c>
      <c r="AO38" s="17" t="n">
        <v>0</v>
      </c>
      <c r="AP38" s="21" t="s">
        <v>9</v>
      </c>
      <c r="AQ38" s="21" t="s">
        <v>9</v>
      </c>
      <c r="AR38" s="17" t="n">
        <v>0</v>
      </c>
      <c r="AS38" s="17" t="n">
        <v>2024</v>
      </c>
      <c r="AT38" s="17" t="n">
        <v>2022</v>
      </c>
      <c r="AU38" s="17" t="n">
        <v>2003</v>
      </c>
      <c r="AV38" s="17" t="n">
        <v>2025</v>
      </c>
      <c r="AW38" s="19" t="s">
        <v>475</v>
      </c>
      <c r="AX38" s="20"/>
      <c r="AY38" s="20"/>
      <c r="AZ38" s="20" t="n">
        <v>0</v>
      </c>
      <c r="BA38" s="19" t="s">
        <v>380</v>
      </c>
    </row>
    <row r="39" customFormat="false" ht="15" hidden="false" customHeight="true" outlineLevel="0" collapsed="false">
      <c r="A39" s="17" t="s">
        <v>476</v>
      </c>
      <c r="B39" s="17" t="s">
        <v>476</v>
      </c>
      <c r="C39" s="17" t="n">
        <v>316</v>
      </c>
      <c r="D39" s="17" t="n">
        <v>316</v>
      </c>
      <c r="E39" s="17" t="s">
        <v>394</v>
      </c>
      <c r="F39" s="17" t="n">
        <v>107</v>
      </c>
      <c r="G39" s="17" t="s">
        <v>395</v>
      </c>
      <c r="H39" s="17" t="n">
        <v>1993</v>
      </c>
      <c r="I39" s="17" t="n">
        <v>10331</v>
      </c>
      <c r="J39" s="18" t="n">
        <f aca="false">IFERROR(F39/I39*100,"n/a")</f>
        <v>1.0357177427161</v>
      </c>
      <c r="K39" s="17" t="n">
        <v>27</v>
      </c>
      <c r="L39" s="17" t="n">
        <v>2022</v>
      </c>
      <c r="M39" s="17" t="n">
        <v>10673</v>
      </c>
      <c r="N39" s="18" t="n">
        <f aca="false">IFERROR(K39/M39*100,"n/a")</f>
        <v>0.252974796214748</v>
      </c>
      <c r="O39" s="17" t="n">
        <v>28</v>
      </c>
      <c r="P39" s="17" t="n">
        <v>0</v>
      </c>
      <c r="Q39" s="21" t="s">
        <v>9</v>
      </c>
      <c r="R39" s="17" t="n">
        <v>0</v>
      </c>
      <c r="S39" s="17" t="n">
        <v>0</v>
      </c>
      <c r="T39" s="17" t="n">
        <v>0</v>
      </c>
      <c r="U39" s="17" t="n">
        <v>0</v>
      </c>
      <c r="V39" s="17" t="n">
        <v>0</v>
      </c>
      <c r="W39" s="21" t="s">
        <v>9</v>
      </c>
      <c r="X39" s="21" t="s">
        <v>9</v>
      </c>
      <c r="Y39" s="21" t="s">
        <v>9</v>
      </c>
      <c r="Z39" s="17" t="n">
        <v>0</v>
      </c>
      <c r="AA39" s="17" t="n">
        <v>0</v>
      </c>
      <c r="AB39" s="17" t="n">
        <v>0</v>
      </c>
      <c r="AC39" s="17" t="n">
        <v>0</v>
      </c>
      <c r="AD39" s="17" t="n">
        <v>0</v>
      </c>
      <c r="AE39" s="17" t="n">
        <v>0</v>
      </c>
      <c r="AF39" s="17" t="n">
        <v>0</v>
      </c>
      <c r="AG39" s="17" t="n">
        <v>0</v>
      </c>
      <c r="AH39" s="17" t="n">
        <v>0</v>
      </c>
      <c r="AI39" s="17" t="n">
        <v>0</v>
      </c>
      <c r="AJ39" s="18" t="str">
        <f aca="false">IF(S39=0,"n/a",IFERROR(AE39/S39,"n/a"))</f>
        <v>n/a</v>
      </c>
      <c r="AK39" s="17" t="s">
        <v>373</v>
      </c>
      <c r="AL39" s="17"/>
      <c r="AM39" s="17"/>
      <c r="AN39" s="17" t="n">
        <v>8</v>
      </c>
      <c r="AO39" s="17" t="n">
        <v>21</v>
      </c>
      <c r="AP39" s="17" t="n">
        <v>1999</v>
      </c>
      <c r="AQ39" s="17" t="n">
        <v>2023</v>
      </c>
      <c r="AR39" s="17" t="n">
        <v>13</v>
      </c>
      <c r="AS39" s="17" t="n">
        <v>2024</v>
      </c>
      <c r="AT39" s="17" t="n">
        <v>2022</v>
      </c>
      <c r="AU39" s="21" t="n">
        <v>2003</v>
      </c>
      <c r="AV39" s="17" t="n">
        <v>2025</v>
      </c>
      <c r="AW39" s="19" t="s">
        <v>477</v>
      </c>
      <c r="AX39" s="20"/>
      <c r="AY39" s="20"/>
      <c r="AZ39" s="20" t="n">
        <v>0</v>
      </c>
      <c r="BA39" s="19"/>
    </row>
    <row r="40" customFormat="false" ht="15" hidden="false" customHeight="true" outlineLevel="0" collapsed="false">
      <c r="A40" s="17" t="s">
        <v>478</v>
      </c>
      <c r="B40" s="17" t="s">
        <v>478</v>
      </c>
      <c r="C40" s="17" t="n">
        <v>315</v>
      </c>
      <c r="D40" s="17" t="n">
        <v>315</v>
      </c>
      <c r="E40" s="17" t="s">
        <v>394</v>
      </c>
      <c r="F40" s="17" t="n">
        <v>310</v>
      </c>
      <c r="G40" s="17" t="s">
        <v>395</v>
      </c>
      <c r="H40" s="17" t="n">
        <v>1961</v>
      </c>
      <c r="I40" s="17" t="n">
        <v>13780</v>
      </c>
      <c r="J40" s="18" t="n">
        <f aca="false">IFERROR(F40/I40*100,"n/a")</f>
        <v>2.24963715529753</v>
      </c>
      <c r="K40" s="17" t="n">
        <v>154</v>
      </c>
      <c r="L40" s="17" t="n">
        <v>1992</v>
      </c>
      <c r="M40" s="17" t="n">
        <v>15731</v>
      </c>
      <c r="N40" s="18" t="n">
        <f aca="false">IFERROR(K40/M40*100,"n/a")</f>
        <v>0.978958743881508</v>
      </c>
      <c r="O40" s="17"/>
      <c r="P40" s="17" t="n">
        <v>0</v>
      </c>
      <c r="Q40" s="21" t="s">
        <v>9</v>
      </c>
      <c r="R40" s="17" t="n">
        <v>0</v>
      </c>
      <c r="S40" s="17" t="n">
        <v>0</v>
      </c>
      <c r="T40" s="17" t="n">
        <v>0</v>
      </c>
      <c r="U40" s="17" t="n">
        <v>0</v>
      </c>
      <c r="V40" s="17" t="n">
        <v>0</v>
      </c>
      <c r="W40" s="21" t="s">
        <v>9</v>
      </c>
      <c r="X40" s="21" t="s">
        <v>9</v>
      </c>
      <c r="Y40" s="21" t="s">
        <v>9</v>
      </c>
      <c r="Z40" s="17" t="n">
        <v>0</v>
      </c>
      <c r="AA40" s="17" t="n">
        <v>0</v>
      </c>
      <c r="AB40" s="17" t="n">
        <v>0</v>
      </c>
      <c r="AC40" s="17" t="n">
        <v>0</v>
      </c>
      <c r="AD40" s="17" t="n">
        <v>0</v>
      </c>
      <c r="AE40" s="17" t="n">
        <v>0</v>
      </c>
      <c r="AF40" s="17" t="n">
        <v>0</v>
      </c>
      <c r="AG40" s="17" t="n">
        <v>0</v>
      </c>
      <c r="AH40" s="17" t="n">
        <v>0</v>
      </c>
      <c r="AI40" s="17" t="n">
        <v>0</v>
      </c>
      <c r="AJ40" s="18" t="str">
        <f aca="false">IF(S40=0,"n/a",IFERROR(AE40/S40,"n/a"))</f>
        <v>n/a</v>
      </c>
      <c r="AK40" s="17"/>
      <c r="AL40" s="17"/>
      <c r="AM40" s="17"/>
      <c r="AN40" s="17" t="n">
        <v>1</v>
      </c>
      <c r="AO40" s="17" t="n">
        <v>1</v>
      </c>
      <c r="AP40" s="17" t="n">
        <v>1991</v>
      </c>
      <c r="AQ40" s="17" t="n">
        <v>1991</v>
      </c>
      <c r="AR40" s="17" t="n">
        <v>1</v>
      </c>
      <c r="AS40" s="17" t="n">
        <v>2024</v>
      </c>
      <c r="AT40" s="17" t="n">
        <v>1992</v>
      </c>
      <c r="AU40" s="21" t="n">
        <v>2003</v>
      </c>
      <c r="AV40" s="17"/>
      <c r="AW40" s="19"/>
      <c r="AX40" s="20" t="s">
        <v>479</v>
      </c>
      <c r="AY40" s="20" t="s">
        <v>480</v>
      </c>
      <c r="AZ40" s="20" t="n">
        <v>0</v>
      </c>
      <c r="BA40" s="19"/>
    </row>
    <row r="41" customFormat="false" ht="15" hidden="false" customHeight="true" outlineLevel="0" collapsed="false">
      <c r="A41" s="17" t="s">
        <v>481</v>
      </c>
      <c r="B41" s="17" t="s">
        <v>481</v>
      </c>
      <c r="C41" s="17" t="n">
        <v>390</v>
      </c>
      <c r="D41" s="17" t="n">
        <v>390</v>
      </c>
      <c r="E41" s="17" t="s">
        <v>394</v>
      </c>
      <c r="F41" s="17" t="n">
        <v>50</v>
      </c>
      <c r="G41" s="17" t="s">
        <v>395</v>
      </c>
      <c r="H41" s="17" t="n">
        <v>1965</v>
      </c>
      <c r="I41" s="17" t="n">
        <v>4758</v>
      </c>
      <c r="J41" s="18" t="n">
        <f aca="false">IFERROR(F41/I41*100,"n/a")</f>
        <v>1.05086170659941</v>
      </c>
      <c r="K41" s="17" t="n">
        <v>15</v>
      </c>
      <c r="L41" s="17" t="n">
        <v>2022</v>
      </c>
      <c r="M41" s="17" t="n">
        <v>5903</v>
      </c>
      <c r="N41" s="18" t="n">
        <f aca="false">IFERROR(K41/M41*100,"n/a")</f>
        <v>0.254108080636964</v>
      </c>
      <c r="O41" s="17" t="n">
        <v>17</v>
      </c>
      <c r="P41" s="17" t="n">
        <v>0</v>
      </c>
      <c r="Q41" s="21" t="s">
        <v>9</v>
      </c>
      <c r="R41" s="17" t="n">
        <v>0</v>
      </c>
      <c r="S41" s="17" t="n">
        <v>0</v>
      </c>
      <c r="T41" s="17" t="n">
        <v>0</v>
      </c>
      <c r="U41" s="17" t="n">
        <v>0</v>
      </c>
      <c r="V41" s="17" t="n">
        <v>0</v>
      </c>
      <c r="W41" s="21" t="s">
        <v>9</v>
      </c>
      <c r="X41" s="21" t="s">
        <v>9</v>
      </c>
      <c r="Y41" s="21" t="s">
        <v>9</v>
      </c>
      <c r="Z41" s="17" t="n">
        <v>0</v>
      </c>
      <c r="AA41" s="17" t="n">
        <v>0</v>
      </c>
      <c r="AB41" s="17" t="n">
        <v>0</v>
      </c>
      <c r="AC41" s="17" t="n">
        <v>0</v>
      </c>
      <c r="AD41" s="17" t="n">
        <v>0</v>
      </c>
      <c r="AE41" s="17" t="n">
        <v>0</v>
      </c>
      <c r="AF41" s="17" t="n">
        <v>0</v>
      </c>
      <c r="AG41" s="17" t="n">
        <v>0</v>
      </c>
      <c r="AH41" s="17" t="n">
        <v>0</v>
      </c>
      <c r="AI41" s="17" t="n">
        <v>0</v>
      </c>
      <c r="AJ41" s="18" t="str">
        <f aca="false">IF(S41=0,"n/a",IFERROR(AE41/S41,"n/a"))</f>
        <v>n/a</v>
      </c>
      <c r="AK41" s="17" t="s">
        <v>382</v>
      </c>
      <c r="AL41" s="17" t="n">
        <v>11</v>
      </c>
      <c r="AM41" s="17" t="s">
        <v>482</v>
      </c>
      <c r="AN41" s="17" t="n">
        <v>8</v>
      </c>
      <c r="AO41" s="17" t="n">
        <v>24</v>
      </c>
      <c r="AP41" s="17" t="n">
        <v>1991</v>
      </c>
      <c r="AQ41" s="17" t="n">
        <v>2023</v>
      </c>
      <c r="AR41" s="17" t="n">
        <v>16</v>
      </c>
      <c r="AS41" s="17" t="n">
        <v>2024</v>
      </c>
      <c r="AT41" s="17" t="n">
        <v>2022</v>
      </c>
      <c r="AU41" s="21" t="n">
        <v>2003</v>
      </c>
      <c r="AV41" s="17" t="n">
        <v>2025</v>
      </c>
      <c r="AW41" s="19" t="s">
        <v>483</v>
      </c>
      <c r="AX41" s="20"/>
      <c r="AY41" s="20"/>
      <c r="AZ41" s="20" t="n">
        <v>0</v>
      </c>
      <c r="BA41" s="19"/>
    </row>
    <row r="42" customFormat="false" ht="15" hidden="false" customHeight="true" outlineLevel="0" collapsed="false">
      <c r="A42" s="17" t="s">
        <v>484</v>
      </c>
      <c r="B42" s="17" t="s">
        <v>484</v>
      </c>
      <c r="C42" s="17" t="n">
        <v>522</v>
      </c>
      <c r="D42" s="17" t="n">
        <v>522</v>
      </c>
      <c r="E42" s="17" t="s">
        <v>371</v>
      </c>
      <c r="F42" s="17" t="n">
        <v>11</v>
      </c>
      <c r="G42" s="17" t="s">
        <v>372</v>
      </c>
      <c r="H42" s="17" t="n">
        <v>2008</v>
      </c>
      <c r="I42" s="17" t="n">
        <v>810</v>
      </c>
      <c r="J42" s="18" t="n">
        <f aca="false">IFERROR(F42/I42*100,"n/a")</f>
        <v>1.35802469135802</v>
      </c>
      <c r="K42" s="17" t="n">
        <v>8</v>
      </c>
      <c r="L42" s="17" t="n">
        <v>2022</v>
      </c>
      <c r="M42" s="17" t="n">
        <v>1137</v>
      </c>
      <c r="N42" s="18" t="n">
        <f aca="false">IFERROR(K42/M42*100,"n/a")</f>
        <v>0.703605980650836</v>
      </c>
      <c r="O42" s="17" t="n">
        <v>12</v>
      </c>
      <c r="P42" s="17" t="n">
        <v>0</v>
      </c>
      <c r="Q42" s="21" t="s">
        <v>9</v>
      </c>
      <c r="R42" s="17" t="n">
        <v>2</v>
      </c>
      <c r="S42" s="17" t="n">
        <v>6</v>
      </c>
      <c r="T42" s="17" t="n">
        <v>0</v>
      </c>
      <c r="U42" s="17" t="n">
        <v>6</v>
      </c>
      <c r="V42" s="17" t="n">
        <v>4</v>
      </c>
      <c r="W42" s="17" t="n">
        <v>1991</v>
      </c>
      <c r="X42" s="17" t="n">
        <v>2008</v>
      </c>
      <c r="Y42" s="17" t="n">
        <v>16</v>
      </c>
      <c r="Z42" s="17" t="n">
        <v>1</v>
      </c>
      <c r="AA42" s="17" t="n">
        <v>1</v>
      </c>
      <c r="AB42" s="17" t="n">
        <v>0</v>
      </c>
      <c r="AC42" s="17" t="n">
        <v>5</v>
      </c>
      <c r="AD42" s="17" t="n">
        <v>0</v>
      </c>
      <c r="AE42" s="17" t="n">
        <v>1</v>
      </c>
      <c r="AF42" s="17" t="n">
        <v>5</v>
      </c>
      <c r="AG42" s="17" t="n">
        <v>6</v>
      </c>
      <c r="AH42" s="17" t="n">
        <v>0</v>
      </c>
      <c r="AI42" s="17" t="n">
        <v>0</v>
      </c>
      <c r="AJ42" s="18" t="n">
        <f aca="false">IF(S42=0,"n/a",IFERROR(AE42/S42,"n/a"))</f>
        <v>0.166666666666667</v>
      </c>
      <c r="AK42" s="17" t="s">
        <v>373</v>
      </c>
      <c r="AL42" s="17"/>
      <c r="AM42" s="17" t="s">
        <v>485</v>
      </c>
      <c r="AN42" s="17" t="n">
        <v>5</v>
      </c>
      <c r="AO42" s="17" t="n">
        <v>13</v>
      </c>
      <c r="AP42" s="17" t="n">
        <v>2012</v>
      </c>
      <c r="AQ42" s="17" t="n">
        <v>2024</v>
      </c>
      <c r="AR42" s="17" t="n">
        <v>12</v>
      </c>
      <c r="AS42" s="17" t="n">
        <v>2024</v>
      </c>
      <c r="AT42" s="17" t="n">
        <v>2022</v>
      </c>
      <c r="AU42" s="21" t="n">
        <v>2003</v>
      </c>
      <c r="AV42" s="17" t="n">
        <v>2025</v>
      </c>
      <c r="AW42" s="19" t="s">
        <v>486</v>
      </c>
      <c r="AX42" s="20"/>
      <c r="AY42" s="20"/>
      <c r="AZ42" s="20" t="n">
        <v>0</v>
      </c>
      <c r="BA42" s="19" t="s">
        <v>376</v>
      </c>
    </row>
    <row r="43" customFormat="false" ht="15" hidden="false" customHeight="true" outlineLevel="0" collapsed="false">
      <c r="A43" s="17" t="s">
        <v>487</v>
      </c>
      <c r="B43" s="17" t="s">
        <v>487</v>
      </c>
      <c r="C43" s="17" t="n">
        <v>42</v>
      </c>
      <c r="D43" s="17" t="n">
        <v>42</v>
      </c>
      <c r="E43" s="17" t="s">
        <v>371</v>
      </c>
      <c r="F43" s="17" t="n">
        <v>17</v>
      </c>
      <c r="G43" s="17" t="s">
        <v>372</v>
      </c>
      <c r="H43" s="17" t="n">
        <v>1965</v>
      </c>
      <c r="I43" s="17" t="n">
        <v>3806</v>
      </c>
      <c r="J43" s="18" t="n">
        <f aca="false">IFERROR(F43/I43*100,"n/a")</f>
        <v>0.446663163426169</v>
      </c>
      <c r="K43" s="17" t="n">
        <v>56</v>
      </c>
      <c r="L43" s="17" t="n">
        <v>2022</v>
      </c>
      <c r="M43" s="17" t="n">
        <v>11231</v>
      </c>
      <c r="N43" s="18" t="n">
        <f aca="false">IFERROR(K43/M43*100,"n/a")</f>
        <v>0.498619891372095</v>
      </c>
      <c r="O43" s="17"/>
      <c r="P43" s="17" t="n">
        <v>0</v>
      </c>
      <c r="Q43" s="21" t="s">
        <v>9</v>
      </c>
      <c r="R43" s="17" t="n">
        <v>1</v>
      </c>
      <c r="S43" s="17" t="n">
        <v>1</v>
      </c>
      <c r="T43" s="17" t="n">
        <v>0</v>
      </c>
      <c r="U43" s="17" t="n">
        <v>1</v>
      </c>
      <c r="V43" s="17" t="n">
        <v>1</v>
      </c>
      <c r="W43" s="17" t="n">
        <v>1965</v>
      </c>
      <c r="X43" s="17" t="n">
        <v>1965</v>
      </c>
      <c r="Y43" s="17" t="n">
        <v>59</v>
      </c>
      <c r="Z43" s="17" t="n">
        <v>0</v>
      </c>
      <c r="AA43" s="17" t="n">
        <v>0</v>
      </c>
      <c r="AB43" s="17" t="n">
        <v>0</v>
      </c>
      <c r="AC43" s="17" t="n">
        <v>1</v>
      </c>
      <c r="AD43" s="17" t="n">
        <v>0</v>
      </c>
      <c r="AE43" s="17" t="n">
        <v>0</v>
      </c>
      <c r="AF43" s="17" t="n">
        <v>1</v>
      </c>
      <c r="AG43" s="17" t="n">
        <v>1</v>
      </c>
      <c r="AH43" s="17" t="n">
        <v>0</v>
      </c>
      <c r="AI43" s="17" t="n">
        <v>0</v>
      </c>
      <c r="AJ43" s="18" t="n">
        <f aca="false">IF(S43=0,"n/a",IFERROR(AE43/S43,"n/a"))</f>
        <v>0</v>
      </c>
      <c r="AK43" s="17" t="s">
        <v>373</v>
      </c>
      <c r="AL43" s="17"/>
      <c r="AM43" s="17"/>
      <c r="AN43" s="17" t="n">
        <v>1</v>
      </c>
      <c r="AO43" s="17" t="n">
        <v>1</v>
      </c>
      <c r="AP43" s="17" t="n">
        <v>2004</v>
      </c>
      <c r="AQ43" s="17" t="n">
        <v>2004</v>
      </c>
      <c r="AR43" s="17" t="n">
        <v>1</v>
      </c>
      <c r="AS43" s="17" t="n">
        <v>2024</v>
      </c>
      <c r="AT43" s="17" t="n">
        <v>2022</v>
      </c>
      <c r="AU43" s="21" t="n">
        <v>2003</v>
      </c>
      <c r="AV43" s="17" t="n">
        <v>2025</v>
      </c>
      <c r="AW43" s="19" t="s">
        <v>488</v>
      </c>
      <c r="AX43" s="20"/>
      <c r="AY43" s="20"/>
      <c r="AZ43" s="20" t="n">
        <v>0</v>
      </c>
      <c r="BA43" s="19" t="s">
        <v>389</v>
      </c>
    </row>
    <row r="44" customFormat="false" ht="15" hidden="false" customHeight="true" outlineLevel="0" collapsed="false">
      <c r="A44" s="17" t="s">
        <v>489</v>
      </c>
      <c r="B44" s="17" t="s">
        <v>489</v>
      </c>
      <c r="C44" s="17" t="n">
        <v>130</v>
      </c>
      <c r="D44" s="17" t="n">
        <v>130</v>
      </c>
      <c r="E44" s="17" t="s">
        <v>371</v>
      </c>
      <c r="F44" s="17" t="n">
        <v>58</v>
      </c>
      <c r="G44" s="17" t="s">
        <v>372</v>
      </c>
      <c r="H44" s="17" t="n">
        <v>1995</v>
      </c>
      <c r="I44" s="17" t="n">
        <v>11460</v>
      </c>
      <c r="J44" s="18" t="n">
        <f aca="false">IFERROR(F44/I44*100,"n/a")</f>
        <v>0.506108202443281</v>
      </c>
      <c r="K44" s="17" t="n">
        <v>41</v>
      </c>
      <c r="L44" s="17" t="n">
        <v>2022</v>
      </c>
      <c r="M44" s="17" t="n">
        <v>17824</v>
      </c>
      <c r="N44" s="18" t="n">
        <f aca="false">IFERROR(K44/M44*100,"n/a")</f>
        <v>0.230026929982047</v>
      </c>
      <c r="O44" s="17" t="n">
        <v>40</v>
      </c>
      <c r="P44" s="17" t="n">
        <v>550</v>
      </c>
      <c r="Q44" s="17" t="n">
        <v>1995</v>
      </c>
      <c r="R44" s="17" t="n">
        <v>1</v>
      </c>
      <c r="S44" s="17" t="n">
        <v>1</v>
      </c>
      <c r="T44" s="17" t="n">
        <v>0</v>
      </c>
      <c r="U44" s="17" t="n">
        <v>1</v>
      </c>
      <c r="V44" s="17" t="n">
        <v>1</v>
      </c>
      <c r="W44" s="17" t="n">
        <v>1995</v>
      </c>
      <c r="X44" s="17" t="n">
        <v>1995</v>
      </c>
      <c r="Y44" s="17" t="n">
        <v>29</v>
      </c>
      <c r="Z44" s="17" t="n">
        <v>1</v>
      </c>
      <c r="AA44" s="17" t="n">
        <v>1</v>
      </c>
      <c r="AB44" s="17" t="n">
        <v>0</v>
      </c>
      <c r="AC44" s="17" t="n">
        <v>0</v>
      </c>
      <c r="AD44" s="17" t="n">
        <v>0</v>
      </c>
      <c r="AE44" s="17" t="n">
        <v>1</v>
      </c>
      <c r="AF44" s="17" t="n">
        <v>0</v>
      </c>
      <c r="AG44" s="17" t="n">
        <v>1</v>
      </c>
      <c r="AH44" s="17" t="n">
        <v>0</v>
      </c>
      <c r="AI44" s="17" t="n">
        <v>0</v>
      </c>
      <c r="AJ44" s="18" t="n">
        <f aca="false">IF(S44=0,"n/a",IFERROR(AE44/S44,"n/a"))</f>
        <v>1</v>
      </c>
      <c r="AK44" s="17" t="s">
        <v>373</v>
      </c>
      <c r="AL44" s="17" t="n">
        <v>12</v>
      </c>
      <c r="AM44" s="17" t="s">
        <v>490</v>
      </c>
      <c r="AN44" s="17" t="n">
        <v>1</v>
      </c>
      <c r="AO44" s="17" t="n">
        <v>1</v>
      </c>
      <c r="AP44" s="17" t="n">
        <v>2022</v>
      </c>
      <c r="AQ44" s="17" t="n">
        <v>2022</v>
      </c>
      <c r="AR44" s="17" t="n">
        <v>0</v>
      </c>
      <c r="AS44" s="17" t="n">
        <v>2024</v>
      </c>
      <c r="AT44" s="17" t="n">
        <v>2022</v>
      </c>
      <c r="AU44" s="17" t="n">
        <v>2003</v>
      </c>
      <c r="AV44" s="17" t="n">
        <v>2025</v>
      </c>
      <c r="AW44" s="19" t="s">
        <v>491</v>
      </c>
      <c r="AX44" s="20"/>
      <c r="AY44" s="20" t="s">
        <v>472</v>
      </c>
      <c r="AZ44" s="20" t="n">
        <v>0</v>
      </c>
      <c r="BA44" s="19" t="s">
        <v>380</v>
      </c>
    </row>
    <row r="45" customFormat="false" ht="15" hidden="false" customHeight="true" outlineLevel="0" collapsed="false">
      <c r="A45" s="17" t="s">
        <v>492</v>
      </c>
      <c r="B45" s="17" t="s">
        <v>492</v>
      </c>
      <c r="C45" s="17" t="n">
        <v>651</v>
      </c>
      <c r="D45" s="17" t="n">
        <v>651</v>
      </c>
      <c r="E45" s="17" t="s">
        <v>371</v>
      </c>
      <c r="F45" s="17" t="n">
        <v>439</v>
      </c>
      <c r="G45" s="17" t="s">
        <v>372</v>
      </c>
      <c r="H45" s="17" t="n">
        <v>2014</v>
      </c>
      <c r="I45" s="17" t="n">
        <v>91813</v>
      </c>
      <c r="J45" s="18" t="n">
        <f aca="false">IFERROR(F45/I45*100,"n/a")</f>
        <v>0.478145796346923</v>
      </c>
      <c r="K45" s="17" t="n">
        <v>439</v>
      </c>
      <c r="L45" s="17" t="n">
        <v>2022</v>
      </c>
      <c r="M45" s="17" t="n">
        <v>112618</v>
      </c>
      <c r="N45" s="18" t="n">
        <f aca="false">IFERROR(K45/M45*100,"n/a")</f>
        <v>0.389813351329272</v>
      </c>
      <c r="O45" s="17" t="n">
        <v>450</v>
      </c>
      <c r="P45" s="17" t="n">
        <v>27714</v>
      </c>
      <c r="Q45" s="17" t="n">
        <v>1991</v>
      </c>
      <c r="R45" s="17" t="n">
        <v>6</v>
      </c>
      <c r="S45" s="17" t="n">
        <v>24</v>
      </c>
      <c r="T45" s="17" t="n">
        <v>4</v>
      </c>
      <c r="U45" s="17" t="n">
        <v>20</v>
      </c>
      <c r="V45" s="17" t="n">
        <v>9</v>
      </c>
      <c r="W45" s="17" t="n">
        <v>1948</v>
      </c>
      <c r="X45" s="17" t="n">
        <v>2022</v>
      </c>
      <c r="Y45" s="17" t="n">
        <v>2</v>
      </c>
      <c r="Z45" s="17" t="n">
        <v>9</v>
      </c>
      <c r="AA45" s="17" t="n">
        <v>9</v>
      </c>
      <c r="AB45" s="17" t="n">
        <v>0</v>
      </c>
      <c r="AC45" s="17" t="n">
        <v>15</v>
      </c>
      <c r="AD45" s="17" t="n">
        <v>0</v>
      </c>
      <c r="AE45" s="17" t="n">
        <v>7</v>
      </c>
      <c r="AF45" s="17" t="n">
        <v>15</v>
      </c>
      <c r="AG45" s="17" t="n">
        <v>22</v>
      </c>
      <c r="AH45" s="17" t="n">
        <v>0</v>
      </c>
      <c r="AI45" s="17" t="n">
        <v>2</v>
      </c>
      <c r="AJ45" s="18" t="n">
        <f aca="false">IF(S45=0,"n/a",IFERROR(AE45/S45,"n/a"))</f>
        <v>0.291666666666667</v>
      </c>
      <c r="AK45" s="17" t="s">
        <v>382</v>
      </c>
      <c r="AL45" s="17" t="n">
        <v>25</v>
      </c>
      <c r="AM45" s="17" t="s">
        <v>415</v>
      </c>
      <c r="AN45" s="17" t="n">
        <v>7</v>
      </c>
      <c r="AO45" s="17" t="n">
        <v>22</v>
      </c>
      <c r="AP45" s="17" t="n">
        <v>1962</v>
      </c>
      <c r="AQ45" s="17" t="n">
        <v>2024</v>
      </c>
      <c r="AR45" s="17" t="n">
        <v>10</v>
      </c>
      <c r="AS45" s="17" t="n">
        <v>2024</v>
      </c>
      <c r="AT45" s="17" t="n">
        <v>2022</v>
      </c>
      <c r="AU45" s="17" t="n">
        <v>2003</v>
      </c>
      <c r="AV45" s="17" t="n">
        <v>2025</v>
      </c>
      <c r="AW45" s="19" t="s">
        <v>493</v>
      </c>
      <c r="AX45" s="20"/>
      <c r="AY45" s="20"/>
      <c r="AZ45" s="20" t="n">
        <v>0</v>
      </c>
      <c r="BA45" s="19" t="s">
        <v>376</v>
      </c>
    </row>
    <row r="46" customFormat="false" ht="15" hidden="false" customHeight="true" outlineLevel="0" collapsed="false">
      <c r="A46" s="17" t="s">
        <v>494</v>
      </c>
      <c r="B46" s="17" t="s">
        <v>494</v>
      </c>
      <c r="C46" s="17" t="n">
        <v>92</v>
      </c>
      <c r="D46" s="17" t="n">
        <v>92</v>
      </c>
      <c r="E46" s="17" t="s">
        <v>371</v>
      </c>
      <c r="F46" s="17" t="n">
        <v>60</v>
      </c>
      <c r="G46" s="17" t="s">
        <v>372</v>
      </c>
      <c r="H46" s="17" t="n">
        <v>1991</v>
      </c>
      <c r="I46" s="17" t="n">
        <v>5351</v>
      </c>
      <c r="J46" s="18" t="n">
        <f aca="false">IFERROR(F46/I46*100,"n/a")</f>
        <v>1.12128574098299</v>
      </c>
      <c r="K46" s="17" t="n">
        <v>25</v>
      </c>
      <c r="L46" s="17" t="n">
        <v>2022</v>
      </c>
      <c r="M46" s="17" t="n">
        <v>6280</v>
      </c>
      <c r="N46" s="18" t="n">
        <f aca="false">IFERROR(K46/M46*100,"n/a")</f>
        <v>0.398089171974522</v>
      </c>
      <c r="O46" s="17" t="n">
        <v>25</v>
      </c>
      <c r="P46" s="17" t="n">
        <v>700</v>
      </c>
      <c r="Q46" s="17" t="n">
        <v>1969</v>
      </c>
      <c r="R46" s="17" t="n">
        <v>2</v>
      </c>
      <c r="S46" s="17" t="n">
        <v>15</v>
      </c>
      <c r="T46" s="17" t="n">
        <v>10</v>
      </c>
      <c r="U46" s="17" t="n">
        <v>5</v>
      </c>
      <c r="V46" s="17" t="n">
        <v>13</v>
      </c>
      <c r="W46" s="17" t="n">
        <v>1969</v>
      </c>
      <c r="X46" s="17" t="n">
        <v>1991</v>
      </c>
      <c r="Y46" s="17" t="n">
        <v>33</v>
      </c>
      <c r="Z46" s="17" t="n">
        <v>1</v>
      </c>
      <c r="AA46" s="17" t="n">
        <v>1</v>
      </c>
      <c r="AB46" s="17" t="n">
        <v>0</v>
      </c>
      <c r="AC46" s="17" t="n">
        <v>14</v>
      </c>
      <c r="AD46" s="17" t="n">
        <v>0</v>
      </c>
      <c r="AE46" s="17" t="n">
        <v>0</v>
      </c>
      <c r="AF46" s="17" t="n">
        <v>14</v>
      </c>
      <c r="AG46" s="17" t="n">
        <v>14</v>
      </c>
      <c r="AH46" s="17" t="n">
        <v>0</v>
      </c>
      <c r="AI46" s="17" t="n">
        <v>1</v>
      </c>
      <c r="AJ46" s="18" t="n">
        <f aca="false">IF(S46=0,"n/a",IFERROR(AE46/S46,"n/a"))</f>
        <v>0</v>
      </c>
      <c r="AK46" s="17" t="s">
        <v>382</v>
      </c>
      <c r="AL46" s="17"/>
      <c r="AM46" s="17" t="s">
        <v>421</v>
      </c>
      <c r="AN46" s="17" t="n">
        <v>5</v>
      </c>
      <c r="AO46" s="17" t="n">
        <v>19</v>
      </c>
      <c r="AP46" s="17" t="n">
        <v>2004</v>
      </c>
      <c r="AQ46" s="17" t="n">
        <v>2023</v>
      </c>
      <c r="AR46" s="17" t="n">
        <v>11</v>
      </c>
      <c r="AS46" s="17" t="n">
        <v>2024</v>
      </c>
      <c r="AT46" s="17" t="n">
        <v>2022</v>
      </c>
      <c r="AU46" s="17" t="n">
        <v>2003</v>
      </c>
      <c r="AV46" s="17" t="n">
        <v>2025</v>
      </c>
      <c r="AW46" s="19" t="s">
        <v>495</v>
      </c>
      <c r="AX46" s="20"/>
      <c r="AY46" s="20" t="s">
        <v>385</v>
      </c>
      <c r="AZ46" s="20" t="n">
        <v>0</v>
      </c>
      <c r="BA46" s="19" t="s">
        <v>376</v>
      </c>
    </row>
    <row r="47" customFormat="false" ht="15" hidden="false" customHeight="true" outlineLevel="0" collapsed="false">
      <c r="A47" s="17" t="s">
        <v>496</v>
      </c>
      <c r="B47" s="17" t="s">
        <v>496</v>
      </c>
      <c r="C47" s="17" t="n">
        <v>531</v>
      </c>
      <c r="D47" s="17" t="n">
        <v>531</v>
      </c>
      <c r="E47" s="17" t="s">
        <v>371</v>
      </c>
      <c r="F47" s="17" t="n">
        <v>215</v>
      </c>
      <c r="G47" s="17" t="s">
        <v>372</v>
      </c>
      <c r="H47" s="17" t="n">
        <v>1999</v>
      </c>
      <c r="I47" s="17" t="n">
        <v>3719</v>
      </c>
      <c r="J47" s="18" t="n">
        <f aca="false">IFERROR(F47/I47*100,"n/a")</f>
        <v>5.78112395805324</v>
      </c>
      <c r="K47" s="17" t="n">
        <v>302</v>
      </c>
      <c r="L47" s="17" t="n">
        <v>2022</v>
      </c>
      <c r="M47" s="17" t="n">
        <v>3409</v>
      </c>
      <c r="N47" s="18" t="n">
        <f aca="false">IFERROR(K47/M47*100,"n/a")</f>
        <v>8.85890290407744</v>
      </c>
      <c r="O47" s="17" t="n">
        <v>200</v>
      </c>
      <c r="P47" s="17" t="n">
        <v>50000</v>
      </c>
      <c r="Q47" s="17" t="n">
        <v>2000</v>
      </c>
      <c r="R47" s="17" t="n">
        <v>3</v>
      </c>
      <c r="S47" s="17" t="n">
        <v>7</v>
      </c>
      <c r="T47" s="17" t="n">
        <v>3</v>
      </c>
      <c r="U47" s="17" t="n">
        <v>5</v>
      </c>
      <c r="V47" s="17" t="n">
        <v>4</v>
      </c>
      <c r="W47" s="17" t="n">
        <v>1997</v>
      </c>
      <c r="X47" s="17" t="n">
        <v>2016</v>
      </c>
      <c r="Y47" s="17" t="n">
        <v>8</v>
      </c>
      <c r="Z47" s="17" t="n">
        <v>5</v>
      </c>
      <c r="AA47" s="17" t="n">
        <v>5</v>
      </c>
      <c r="AB47" s="17" t="n">
        <v>0</v>
      </c>
      <c r="AC47" s="17" t="n">
        <v>3</v>
      </c>
      <c r="AD47" s="17" t="n">
        <v>0</v>
      </c>
      <c r="AE47" s="17" t="n">
        <v>5</v>
      </c>
      <c r="AF47" s="17" t="n">
        <v>3</v>
      </c>
      <c r="AG47" s="17" t="n">
        <v>7</v>
      </c>
      <c r="AH47" s="17" t="n">
        <v>0</v>
      </c>
      <c r="AI47" s="17" t="n">
        <v>0</v>
      </c>
      <c r="AJ47" s="18" t="n">
        <f aca="false">IF(S47=0,"n/a",IFERROR(AE47/S47,"n/a"))</f>
        <v>0.714285714285714</v>
      </c>
      <c r="AK47" s="17" t="s">
        <v>382</v>
      </c>
      <c r="AL47" s="17" t="n">
        <v>5</v>
      </c>
      <c r="AM47" s="17" t="s">
        <v>497</v>
      </c>
      <c r="AN47" s="17" t="n">
        <v>3</v>
      </c>
      <c r="AO47" s="17" t="n">
        <v>8</v>
      </c>
      <c r="AP47" s="17" t="n">
        <v>2006</v>
      </c>
      <c r="AQ47" s="17" t="n">
        <v>2022</v>
      </c>
      <c r="AR47" s="17" t="n">
        <v>7</v>
      </c>
      <c r="AS47" s="17" t="n">
        <v>2024</v>
      </c>
      <c r="AT47" s="17" t="n">
        <v>2022</v>
      </c>
      <c r="AU47" s="17" t="n">
        <v>2003</v>
      </c>
      <c r="AV47" s="17" t="n">
        <v>2025</v>
      </c>
      <c r="AW47" s="19" t="s">
        <v>498</v>
      </c>
      <c r="AX47" s="20"/>
      <c r="AY47" s="20"/>
      <c r="AZ47" s="20" t="n">
        <v>0</v>
      </c>
      <c r="BA47" s="19" t="s">
        <v>376</v>
      </c>
    </row>
    <row r="48" customFormat="false" ht="15" hidden="false" customHeight="true" outlineLevel="0" collapsed="false">
      <c r="A48" s="17" t="s">
        <v>499</v>
      </c>
      <c r="B48" s="17" t="s">
        <v>499</v>
      </c>
      <c r="C48" s="17" t="n">
        <v>366</v>
      </c>
      <c r="D48" s="17" t="n">
        <v>366</v>
      </c>
      <c r="E48" s="17" t="s">
        <v>394</v>
      </c>
      <c r="F48" s="17" t="n">
        <v>7</v>
      </c>
      <c r="G48" s="17" t="s">
        <v>395</v>
      </c>
      <c r="H48" s="17" t="n">
        <v>1997</v>
      </c>
      <c r="I48" s="17" t="n">
        <v>1455</v>
      </c>
      <c r="J48" s="18" t="n">
        <f aca="false">IFERROR(F48/I48*100,"n/a")</f>
        <v>0.481099656357388</v>
      </c>
      <c r="K48" s="17" t="n">
        <v>7</v>
      </c>
      <c r="L48" s="17" t="n">
        <v>2022</v>
      </c>
      <c r="M48" s="17" t="n">
        <v>1350</v>
      </c>
      <c r="N48" s="18" t="n">
        <f aca="false">IFERROR(K48/M48*100,"n/a")</f>
        <v>0.518518518518519</v>
      </c>
      <c r="O48" s="17" t="n">
        <v>7.5</v>
      </c>
      <c r="P48" s="17" t="n">
        <v>0</v>
      </c>
      <c r="Q48" s="21" t="s">
        <v>9</v>
      </c>
      <c r="R48" s="17" t="n">
        <v>0</v>
      </c>
      <c r="S48" s="17" t="n">
        <v>0</v>
      </c>
      <c r="T48" s="17" t="n">
        <v>0</v>
      </c>
      <c r="U48" s="17" t="n">
        <v>0</v>
      </c>
      <c r="V48" s="17" t="n">
        <v>0</v>
      </c>
      <c r="W48" s="21" t="s">
        <v>9</v>
      </c>
      <c r="X48" s="21" t="s">
        <v>9</v>
      </c>
      <c r="Y48" s="21" t="s">
        <v>9</v>
      </c>
      <c r="Z48" s="17" t="n">
        <v>0</v>
      </c>
      <c r="AA48" s="17" t="n">
        <v>0</v>
      </c>
      <c r="AB48" s="17" t="n">
        <v>0</v>
      </c>
      <c r="AC48" s="17" t="n">
        <v>0</v>
      </c>
      <c r="AD48" s="17" t="n">
        <v>0</v>
      </c>
      <c r="AE48" s="17" t="n">
        <v>0</v>
      </c>
      <c r="AF48" s="17" t="n">
        <v>0</v>
      </c>
      <c r="AG48" s="17" t="n">
        <v>0</v>
      </c>
      <c r="AH48" s="17" t="n">
        <v>0</v>
      </c>
      <c r="AI48" s="17" t="n">
        <v>0</v>
      </c>
      <c r="AJ48" s="18" t="str">
        <f aca="false">IF(S48=0,"n/a",IFERROR(AE48/S48,"n/a"))</f>
        <v>n/a</v>
      </c>
      <c r="AK48" s="17" t="s">
        <v>382</v>
      </c>
      <c r="AL48" s="17" t="n">
        <v>9.5</v>
      </c>
      <c r="AM48" s="17" t="s">
        <v>500</v>
      </c>
      <c r="AN48" s="17" t="n">
        <v>6</v>
      </c>
      <c r="AO48" s="17" t="n">
        <v>20</v>
      </c>
      <c r="AP48" s="17" t="n">
        <v>2004</v>
      </c>
      <c r="AQ48" s="17" t="n">
        <v>2023</v>
      </c>
      <c r="AR48" s="17" t="n">
        <v>12</v>
      </c>
      <c r="AS48" s="17" t="n">
        <v>2024</v>
      </c>
      <c r="AT48" s="17" t="n">
        <v>2022</v>
      </c>
      <c r="AU48" s="21" t="n">
        <v>2003</v>
      </c>
      <c r="AV48" s="17" t="n">
        <v>2025</v>
      </c>
      <c r="AW48" s="19" t="s">
        <v>501</v>
      </c>
      <c r="AX48" s="20"/>
      <c r="AY48" s="20"/>
      <c r="AZ48" s="20" t="n">
        <v>0</v>
      </c>
      <c r="BA48" s="19"/>
    </row>
    <row r="49" customFormat="false" ht="15" hidden="false" customHeight="true" outlineLevel="0" collapsed="false">
      <c r="A49" s="17" t="s">
        <v>502</v>
      </c>
      <c r="B49" s="17" t="s">
        <v>502</v>
      </c>
      <c r="C49" s="17" t="n">
        <v>530</v>
      </c>
      <c r="D49" s="17" t="n">
        <v>530</v>
      </c>
      <c r="E49" s="17" t="s">
        <v>371</v>
      </c>
      <c r="F49" s="17" t="n">
        <v>503</v>
      </c>
      <c r="G49" s="17" t="s">
        <v>372</v>
      </c>
      <c r="H49" s="17" t="n">
        <v>2022</v>
      </c>
      <c r="I49" s="17" t="n">
        <v>125384</v>
      </c>
      <c r="J49" s="18" t="n">
        <f aca="false">IFERROR(F49/I49*100,"n/a")</f>
        <v>0.40116761309258</v>
      </c>
      <c r="K49" s="17" t="n">
        <v>503</v>
      </c>
      <c r="L49" s="17" t="n">
        <v>2022</v>
      </c>
      <c r="M49" s="17" t="n">
        <v>125384</v>
      </c>
      <c r="N49" s="18" t="n">
        <f aca="false">IFERROR(K49/M49*100,"n/a")</f>
        <v>0.40116761309258</v>
      </c>
      <c r="O49" s="17" t="n">
        <v>300</v>
      </c>
      <c r="P49" s="17" t="n">
        <v>71920</v>
      </c>
      <c r="Q49" s="17" t="n">
        <v>2000</v>
      </c>
      <c r="R49" s="17" t="n">
        <v>12</v>
      </c>
      <c r="S49" s="17" t="n">
        <v>59</v>
      </c>
      <c r="T49" s="17" t="n">
        <v>24</v>
      </c>
      <c r="U49" s="17" t="n">
        <v>59</v>
      </c>
      <c r="V49" s="17" t="n">
        <v>33</v>
      </c>
      <c r="W49" s="17" t="n">
        <v>1960</v>
      </c>
      <c r="X49" s="17" t="n">
        <v>2024</v>
      </c>
      <c r="Y49" s="17" t="n">
        <v>0</v>
      </c>
      <c r="Z49" s="17" t="n">
        <v>8</v>
      </c>
      <c r="AA49" s="17" t="n">
        <v>8</v>
      </c>
      <c r="AB49" s="17" t="n">
        <v>10</v>
      </c>
      <c r="AC49" s="17" t="n">
        <v>58</v>
      </c>
      <c r="AD49" s="17" t="n">
        <v>0</v>
      </c>
      <c r="AE49" s="17" t="n">
        <v>8</v>
      </c>
      <c r="AF49" s="17" t="n">
        <v>59</v>
      </c>
      <c r="AG49" s="17" t="n">
        <v>59</v>
      </c>
      <c r="AH49" s="17" t="n">
        <v>0</v>
      </c>
      <c r="AI49" s="17" t="n">
        <v>0</v>
      </c>
      <c r="AJ49" s="18" t="n">
        <f aca="false">IF(S49=0,"n/a",IFERROR(AE49/S49,"n/a"))</f>
        <v>0.135593220338983</v>
      </c>
      <c r="AK49" s="17" t="s">
        <v>373</v>
      </c>
      <c r="AL49" s="17" t="n">
        <v>24</v>
      </c>
      <c r="AM49" s="17" t="s">
        <v>415</v>
      </c>
      <c r="AN49" s="17" t="n">
        <v>4</v>
      </c>
      <c r="AO49" s="17" t="n">
        <v>22</v>
      </c>
      <c r="AP49" s="17" t="n">
        <v>1951</v>
      </c>
      <c r="AQ49" s="17" t="n">
        <v>2024</v>
      </c>
      <c r="AR49" s="17" t="n">
        <v>20</v>
      </c>
      <c r="AS49" s="17" t="n">
        <v>2024</v>
      </c>
      <c r="AT49" s="17" t="n">
        <v>2022</v>
      </c>
      <c r="AU49" s="17" t="n">
        <v>2003</v>
      </c>
      <c r="AV49" s="17" t="n">
        <v>2025</v>
      </c>
      <c r="AW49" s="19" t="s">
        <v>503</v>
      </c>
      <c r="AX49" s="20"/>
      <c r="AY49" s="20" t="s">
        <v>472</v>
      </c>
      <c r="AZ49" s="20" t="n">
        <v>3</v>
      </c>
      <c r="BA49" s="19" t="s">
        <v>436</v>
      </c>
    </row>
    <row r="50" customFormat="false" ht="15" hidden="false" customHeight="true" outlineLevel="0" collapsed="false">
      <c r="A50" s="17" t="s">
        <v>504</v>
      </c>
      <c r="B50" s="17" t="s">
        <v>504</v>
      </c>
      <c r="C50" s="17" t="n">
        <v>375</v>
      </c>
      <c r="D50" s="17" t="n">
        <v>375</v>
      </c>
      <c r="E50" s="17" t="s">
        <v>394</v>
      </c>
      <c r="F50" s="17" t="n">
        <v>48</v>
      </c>
      <c r="G50" s="17" t="s">
        <v>395</v>
      </c>
      <c r="H50" s="17" t="n">
        <v>1961</v>
      </c>
      <c r="I50" s="17" t="n">
        <v>4461</v>
      </c>
      <c r="J50" s="18" t="n">
        <f aca="false">IFERROR(F50/I50*100,"n/a")</f>
        <v>1.07599193006052</v>
      </c>
      <c r="K50" s="17" t="n">
        <v>19</v>
      </c>
      <c r="L50" s="17" t="n">
        <v>2022</v>
      </c>
      <c r="M50" s="17" t="n">
        <v>5569</v>
      </c>
      <c r="N50" s="18" t="n">
        <f aca="false">IFERROR(K50/M50*100,"n/a")</f>
        <v>0.341174358053511</v>
      </c>
      <c r="O50" s="17" t="n">
        <v>31</v>
      </c>
      <c r="P50" s="17" t="n">
        <v>0</v>
      </c>
      <c r="Q50" s="21" t="s">
        <v>9</v>
      </c>
      <c r="R50" s="17" t="n">
        <v>0</v>
      </c>
      <c r="S50" s="17" t="n">
        <v>0</v>
      </c>
      <c r="T50" s="17" t="n">
        <v>0</v>
      </c>
      <c r="U50" s="17" t="n">
        <v>0</v>
      </c>
      <c r="V50" s="17" t="n">
        <v>0</v>
      </c>
      <c r="W50" s="21" t="s">
        <v>9</v>
      </c>
      <c r="X50" s="21" t="s">
        <v>9</v>
      </c>
      <c r="Y50" s="21" t="s">
        <v>9</v>
      </c>
      <c r="Z50" s="17" t="n">
        <v>0</v>
      </c>
      <c r="AA50" s="17" t="n">
        <v>0</v>
      </c>
      <c r="AB50" s="17" t="n">
        <v>0</v>
      </c>
      <c r="AC50" s="17" t="n">
        <v>0</v>
      </c>
      <c r="AD50" s="17" t="n">
        <v>0</v>
      </c>
      <c r="AE50" s="17" t="n">
        <v>0</v>
      </c>
      <c r="AF50" s="17" t="n">
        <v>0</v>
      </c>
      <c r="AG50" s="17" t="n">
        <v>0</v>
      </c>
      <c r="AH50" s="17" t="n">
        <v>0</v>
      </c>
      <c r="AI50" s="17" t="n">
        <v>0</v>
      </c>
      <c r="AJ50" s="18" t="str">
        <f aca="false">IF(S50=0,"n/a",IFERROR(AE50/S50,"n/a"))</f>
        <v>n/a</v>
      </c>
      <c r="AK50" s="17" t="s">
        <v>382</v>
      </c>
      <c r="AL50" s="17" t="n">
        <v>8.75</v>
      </c>
      <c r="AM50" s="17" t="s">
        <v>505</v>
      </c>
      <c r="AN50" s="17" t="n">
        <v>4</v>
      </c>
      <c r="AO50" s="17" t="n">
        <v>18</v>
      </c>
      <c r="AP50" s="17" t="n">
        <v>2006</v>
      </c>
      <c r="AQ50" s="17" t="n">
        <v>2023</v>
      </c>
      <c r="AR50" s="17" t="n">
        <v>10</v>
      </c>
      <c r="AS50" s="17" t="n">
        <v>2024</v>
      </c>
      <c r="AT50" s="17" t="n">
        <v>2022</v>
      </c>
      <c r="AU50" s="21" t="n">
        <v>2003</v>
      </c>
      <c r="AV50" s="17" t="n">
        <v>2025</v>
      </c>
      <c r="AW50" s="19" t="s">
        <v>506</v>
      </c>
      <c r="AX50" s="20"/>
      <c r="AY50" s="20"/>
      <c r="AZ50" s="20" t="n">
        <v>0</v>
      </c>
      <c r="BA50" s="19"/>
    </row>
    <row r="51" customFormat="false" ht="15" hidden="false" customHeight="true" outlineLevel="0" collapsed="false">
      <c r="A51" s="17" t="s">
        <v>507</v>
      </c>
      <c r="B51" s="17" t="s">
        <v>507</v>
      </c>
      <c r="C51" s="17" t="n">
        <v>220</v>
      </c>
      <c r="D51" s="17" t="n">
        <v>220</v>
      </c>
      <c r="E51" s="17" t="s">
        <v>371</v>
      </c>
      <c r="F51" s="17" t="n">
        <v>1025</v>
      </c>
      <c r="G51" s="17" t="s">
        <v>372</v>
      </c>
      <c r="H51" s="17" t="n">
        <v>1960</v>
      </c>
      <c r="I51" s="17" t="n">
        <v>45684</v>
      </c>
      <c r="J51" s="18" t="n">
        <f aca="false">IFERROR(F51/I51*100,"n/a")</f>
        <v>2.24367393398126</v>
      </c>
      <c r="K51" s="17" t="n">
        <v>203</v>
      </c>
      <c r="L51" s="17" t="n">
        <v>2022</v>
      </c>
      <c r="M51" s="17" t="n">
        <v>66277</v>
      </c>
      <c r="N51" s="18" t="n">
        <f aca="false">IFERROR(K51/M51*100,"n/a")</f>
        <v>0.306290266608326</v>
      </c>
      <c r="O51" s="17" t="n">
        <v>200</v>
      </c>
      <c r="P51" s="17" t="n">
        <v>300</v>
      </c>
      <c r="Q51" s="17" t="n">
        <v>2001</v>
      </c>
      <c r="R51" s="17" t="n">
        <v>13</v>
      </c>
      <c r="S51" s="17" t="n">
        <v>17</v>
      </c>
      <c r="T51" s="17" t="n">
        <v>17</v>
      </c>
      <c r="U51" s="17" t="n">
        <v>15</v>
      </c>
      <c r="V51" s="17" t="n">
        <v>17</v>
      </c>
      <c r="W51" s="17" t="n">
        <v>1946</v>
      </c>
      <c r="X51" s="17" t="n">
        <v>1962</v>
      </c>
      <c r="Y51" s="17" t="n">
        <v>62</v>
      </c>
      <c r="Z51" s="17" t="n">
        <v>3</v>
      </c>
      <c r="AA51" s="17" t="n">
        <v>3</v>
      </c>
      <c r="AB51" s="17" t="n">
        <v>0</v>
      </c>
      <c r="AC51" s="17" t="n">
        <v>2</v>
      </c>
      <c r="AD51" s="17" t="n">
        <v>17</v>
      </c>
      <c r="AE51" s="17" t="n">
        <v>0</v>
      </c>
      <c r="AF51" s="17" t="n">
        <v>2</v>
      </c>
      <c r="AG51" s="17" t="n">
        <v>2</v>
      </c>
      <c r="AH51" s="17" t="n">
        <v>0</v>
      </c>
      <c r="AI51" s="17" t="n">
        <v>17</v>
      </c>
      <c r="AJ51" s="18" t="n">
        <f aca="false">IF(S51=0,"n/a",IFERROR(AE51/S51,"n/a"))</f>
        <v>0</v>
      </c>
      <c r="AK51" s="17" t="s">
        <v>373</v>
      </c>
      <c r="AL51" s="17"/>
      <c r="AM51" s="17" t="s">
        <v>431</v>
      </c>
      <c r="AN51" s="17" t="n">
        <v>21</v>
      </c>
      <c r="AO51" s="17" t="n">
        <v>43</v>
      </c>
      <c r="AP51" s="17" t="n">
        <v>1950</v>
      </c>
      <c r="AQ51" s="17" t="n">
        <v>2024</v>
      </c>
      <c r="AR51" s="17" t="n">
        <v>25</v>
      </c>
      <c r="AS51" s="17" t="n">
        <v>2024</v>
      </c>
      <c r="AT51" s="17" t="n">
        <v>2022</v>
      </c>
      <c r="AU51" s="17" t="n">
        <v>2003</v>
      </c>
      <c r="AV51" s="17" t="n">
        <v>2025</v>
      </c>
      <c r="AW51" s="19" t="s">
        <v>508</v>
      </c>
      <c r="AX51" s="20"/>
      <c r="AY51" s="20"/>
      <c r="AZ51" s="20" t="n">
        <v>0</v>
      </c>
      <c r="BA51" s="19" t="s">
        <v>509</v>
      </c>
    </row>
    <row r="52" customFormat="false" ht="15" hidden="false" customHeight="true" outlineLevel="0" collapsed="false">
      <c r="A52" s="17" t="s">
        <v>510</v>
      </c>
      <c r="B52" s="17" t="s">
        <v>510</v>
      </c>
      <c r="C52" s="17" t="n">
        <v>481</v>
      </c>
      <c r="D52" s="17" t="n">
        <v>481</v>
      </c>
      <c r="E52" s="17" t="s">
        <v>371</v>
      </c>
      <c r="F52" s="17" t="n">
        <v>1</v>
      </c>
      <c r="G52" s="17" t="s">
        <v>372</v>
      </c>
      <c r="H52" s="17" t="n">
        <v>1964</v>
      </c>
      <c r="I52" s="17" t="n">
        <v>494</v>
      </c>
      <c r="J52" s="18" t="n">
        <f aca="false">IFERROR(F52/I52*100,"n/a")</f>
        <v>0.202429149797571</v>
      </c>
      <c r="K52" s="17" t="n">
        <v>5</v>
      </c>
      <c r="L52" s="17" t="n">
        <v>2022</v>
      </c>
      <c r="M52" s="17" t="n">
        <v>2431</v>
      </c>
      <c r="N52" s="18" t="n">
        <f aca="false">IFERROR(K52/M52*100,"n/a")</f>
        <v>0.205676676264912</v>
      </c>
      <c r="O52" s="17" t="n">
        <v>7</v>
      </c>
      <c r="P52" s="17" t="n">
        <v>0</v>
      </c>
      <c r="Q52" s="21" t="s">
        <v>9</v>
      </c>
      <c r="R52" s="17" t="n">
        <v>1</v>
      </c>
      <c r="S52" s="17" t="n">
        <v>1</v>
      </c>
      <c r="T52" s="17" t="n">
        <v>0</v>
      </c>
      <c r="U52" s="17" t="n">
        <v>1</v>
      </c>
      <c r="V52" s="17" t="n">
        <v>1</v>
      </c>
      <c r="W52" s="17" t="n">
        <v>1964</v>
      </c>
      <c r="X52" s="17" t="n">
        <v>1964</v>
      </c>
      <c r="Y52" s="17" t="n">
        <v>60</v>
      </c>
      <c r="Z52" s="17" t="n">
        <v>0</v>
      </c>
      <c r="AA52" s="17" t="n">
        <v>0</v>
      </c>
      <c r="AB52" s="17" t="n">
        <v>1</v>
      </c>
      <c r="AC52" s="17" t="n">
        <v>0</v>
      </c>
      <c r="AD52" s="17" t="n">
        <v>0</v>
      </c>
      <c r="AE52" s="17" t="n">
        <v>0</v>
      </c>
      <c r="AF52" s="17" t="n">
        <v>1</v>
      </c>
      <c r="AG52" s="17" t="n">
        <v>1</v>
      </c>
      <c r="AH52" s="17" t="n">
        <v>0</v>
      </c>
      <c r="AI52" s="17" t="n">
        <v>0</v>
      </c>
      <c r="AJ52" s="18" t="n">
        <f aca="false">IF(S52=0,"n/a",IFERROR(AE52/S52,"n/a"))</f>
        <v>0</v>
      </c>
      <c r="AK52" s="17" t="s">
        <v>373</v>
      </c>
      <c r="AL52" s="17"/>
      <c r="AM52" s="17" t="s">
        <v>441</v>
      </c>
      <c r="AN52" s="17" t="n">
        <v>2</v>
      </c>
      <c r="AO52" s="17" t="n">
        <v>8</v>
      </c>
      <c r="AP52" s="17" t="n">
        <v>2014</v>
      </c>
      <c r="AQ52" s="17" t="n">
        <v>2022</v>
      </c>
      <c r="AR52" s="17" t="n">
        <v>0</v>
      </c>
      <c r="AS52" s="17" t="n">
        <v>2024</v>
      </c>
      <c r="AT52" s="17" t="n">
        <v>2022</v>
      </c>
      <c r="AU52" s="21" t="n">
        <v>2003</v>
      </c>
      <c r="AV52" s="17" t="n">
        <v>2025</v>
      </c>
      <c r="AW52" s="19" t="s">
        <v>511</v>
      </c>
      <c r="AX52" s="20"/>
      <c r="AY52" s="20"/>
      <c r="AZ52" s="20" t="n">
        <v>0</v>
      </c>
      <c r="BA52" s="19" t="s">
        <v>389</v>
      </c>
    </row>
    <row r="53" customFormat="false" ht="15" hidden="false" customHeight="true" outlineLevel="0" collapsed="false">
      <c r="A53" s="17" t="s">
        <v>512</v>
      </c>
      <c r="B53" s="17" t="s">
        <v>512</v>
      </c>
      <c r="C53" s="17" t="n">
        <v>420</v>
      </c>
      <c r="D53" s="17" t="n">
        <v>420</v>
      </c>
      <c r="E53" s="17" t="s">
        <v>371</v>
      </c>
      <c r="F53" s="17" t="n">
        <v>1</v>
      </c>
      <c r="G53" s="17" t="s">
        <v>372</v>
      </c>
      <c r="H53" s="17" t="n">
        <v>1981</v>
      </c>
      <c r="I53" s="17" t="n">
        <v>619</v>
      </c>
      <c r="J53" s="18" t="n">
        <f aca="false">IFERROR(F53/I53*100,"n/a")</f>
        <v>0.161550888529887</v>
      </c>
      <c r="K53" s="17" t="n">
        <v>4</v>
      </c>
      <c r="L53" s="17" t="n">
        <v>2022</v>
      </c>
      <c r="M53" s="17" t="n">
        <v>2636</v>
      </c>
      <c r="N53" s="18" t="n">
        <f aca="false">IFERROR(K53/M53*100,"n/a")</f>
        <v>0.151745068285281</v>
      </c>
      <c r="O53" s="17" t="n">
        <v>4</v>
      </c>
      <c r="P53" s="17" t="n">
        <v>0</v>
      </c>
      <c r="Q53" s="21" t="s">
        <v>9</v>
      </c>
      <c r="R53" s="17" t="n">
        <v>1</v>
      </c>
      <c r="S53" s="17" t="n">
        <v>1</v>
      </c>
      <c r="T53" s="17" t="n">
        <v>0</v>
      </c>
      <c r="U53" s="17" t="n">
        <v>1</v>
      </c>
      <c r="V53" s="17" t="n">
        <v>1</v>
      </c>
      <c r="W53" s="17" t="n">
        <v>1981</v>
      </c>
      <c r="X53" s="17" t="n">
        <v>1981</v>
      </c>
      <c r="Y53" s="17" t="n">
        <v>43</v>
      </c>
      <c r="Z53" s="17" t="n">
        <v>0</v>
      </c>
      <c r="AA53" s="17" t="n">
        <v>0</v>
      </c>
      <c r="AB53" s="17" t="n">
        <v>1</v>
      </c>
      <c r="AC53" s="17" t="n">
        <v>0</v>
      </c>
      <c r="AD53" s="17" t="n">
        <v>0</v>
      </c>
      <c r="AE53" s="17" t="n">
        <v>0</v>
      </c>
      <c r="AF53" s="17" t="n">
        <v>1</v>
      </c>
      <c r="AG53" s="17" t="n">
        <v>1</v>
      </c>
      <c r="AH53" s="17" t="n">
        <v>0</v>
      </c>
      <c r="AI53" s="17" t="n">
        <v>0</v>
      </c>
      <c r="AJ53" s="18" t="n">
        <f aca="false">IF(S53=0,"n/a",IFERROR(AE53/S53,"n/a"))</f>
        <v>0</v>
      </c>
      <c r="AK53" s="17" t="s">
        <v>373</v>
      </c>
      <c r="AL53" s="17"/>
      <c r="AM53" s="17"/>
      <c r="AN53" s="17" t="n">
        <v>5</v>
      </c>
      <c r="AO53" s="17" t="n">
        <v>10</v>
      </c>
      <c r="AP53" s="17" t="n">
        <v>2015</v>
      </c>
      <c r="AQ53" s="17" t="n">
        <v>2024</v>
      </c>
      <c r="AR53" s="17" t="n">
        <v>1</v>
      </c>
      <c r="AS53" s="17" t="n">
        <v>2024</v>
      </c>
      <c r="AT53" s="17" t="n">
        <v>2022</v>
      </c>
      <c r="AU53" s="21" t="n">
        <v>2003</v>
      </c>
      <c r="AV53" s="17" t="n">
        <v>2025</v>
      </c>
      <c r="AW53" s="19" t="s">
        <v>513</v>
      </c>
      <c r="AX53" s="20"/>
      <c r="AY53" s="20"/>
      <c r="AZ53" s="20" t="n">
        <v>0</v>
      </c>
      <c r="BA53" s="19" t="s">
        <v>389</v>
      </c>
    </row>
    <row r="54" customFormat="false" ht="15" hidden="false" customHeight="true" outlineLevel="0" collapsed="false">
      <c r="A54" s="17" t="s">
        <v>514</v>
      </c>
      <c r="B54" s="17" t="s">
        <v>514</v>
      </c>
      <c r="C54" s="17" t="n">
        <v>372</v>
      </c>
      <c r="D54" s="17" t="n">
        <v>372</v>
      </c>
      <c r="E54" s="17" t="s">
        <v>371</v>
      </c>
      <c r="F54" s="17" t="n">
        <v>25</v>
      </c>
      <c r="G54" s="17" t="s">
        <v>372</v>
      </c>
      <c r="H54" s="17" t="n">
        <v>1992</v>
      </c>
      <c r="I54" s="17" t="n">
        <v>5455</v>
      </c>
      <c r="J54" s="18" t="n">
        <f aca="false">IFERROR(F54/I54*100,"n/a")</f>
        <v>0.458295142071494</v>
      </c>
      <c r="K54" s="17" t="n">
        <v>21</v>
      </c>
      <c r="L54" s="17" t="n">
        <v>2022</v>
      </c>
      <c r="M54" s="17" t="n">
        <v>3795</v>
      </c>
      <c r="N54" s="18" t="n">
        <f aca="false">IFERROR(K54/M54*100,"n/a")</f>
        <v>0.553359683794466</v>
      </c>
      <c r="O54" s="17"/>
      <c r="P54" s="17" t="n">
        <v>0</v>
      </c>
      <c r="Q54" s="21" t="s">
        <v>9</v>
      </c>
      <c r="R54" s="17" t="n">
        <v>3</v>
      </c>
      <c r="S54" s="17" t="n">
        <v>5</v>
      </c>
      <c r="T54" s="17" t="n">
        <v>1</v>
      </c>
      <c r="U54" s="17" t="n">
        <v>5</v>
      </c>
      <c r="V54" s="17" t="n">
        <v>3</v>
      </c>
      <c r="W54" s="17" t="n">
        <v>1991</v>
      </c>
      <c r="X54" s="17" t="n">
        <v>2008</v>
      </c>
      <c r="Y54" s="17" t="n">
        <v>16</v>
      </c>
      <c r="Z54" s="17" t="n">
        <v>0</v>
      </c>
      <c r="AA54" s="17" t="n">
        <v>0</v>
      </c>
      <c r="AB54" s="17" t="n">
        <v>1</v>
      </c>
      <c r="AC54" s="17" t="n">
        <v>4</v>
      </c>
      <c r="AD54" s="17" t="n">
        <v>0</v>
      </c>
      <c r="AE54" s="17" t="n">
        <v>0</v>
      </c>
      <c r="AF54" s="17" t="n">
        <v>5</v>
      </c>
      <c r="AG54" s="17" t="n">
        <v>5</v>
      </c>
      <c r="AH54" s="17" t="n">
        <v>0</v>
      </c>
      <c r="AI54" s="17" t="n">
        <v>0</v>
      </c>
      <c r="AJ54" s="18" t="n">
        <f aca="false">IF(S54=0,"n/a",IFERROR(AE54/S54,"n/a"))</f>
        <v>0</v>
      </c>
      <c r="AK54" s="17" t="s">
        <v>382</v>
      </c>
      <c r="AL54" s="17"/>
      <c r="AM54" s="17" t="s">
        <v>474</v>
      </c>
      <c r="AN54" s="17" t="n">
        <v>2</v>
      </c>
      <c r="AO54" s="17" t="n">
        <v>11</v>
      </c>
      <c r="AP54" s="17" t="n">
        <v>2004</v>
      </c>
      <c r="AQ54" s="17" t="n">
        <v>2014</v>
      </c>
      <c r="AR54" s="17" t="n">
        <v>11</v>
      </c>
      <c r="AS54" s="17" t="n">
        <v>2024</v>
      </c>
      <c r="AT54" s="17" t="n">
        <v>2022</v>
      </c>
      <c r="AU54" s="21" t="n">
        <v>2003</v>
      </c>
      <c r="AV54" s="17" t="n">
        <v>2025</v>
      </c>
      <c r="AW54" s="19" t="s">
        <v>515</v>
      </c>
      <c r="AX54" s="20"/>
      <c r="AY54" s="20" t="s">
        <v>385</v>
      </c>
      <c r="AZ54" s="20" t="n">
        <v>0</v>
      </c>
      <c r="BA54" s="19" t="s">
        <v>389</v>
      </c>
    </row>
    <row r="55" customFormat="false" ht="15" hidden="false" customHeight="true" outlineLevel="0" collapsed="false">
      <c r="A55" s="17" t="s">
        <v>516</v>
      </c>
      <c r="B55" s="17" t="s">
        <v>517</v>
      </c>
      <c r="C55" s="17" t="n">
        <v>260</v>
      </c>
      <c r="D55" s="17" t="n">
        <v>260</v>
      </c>
      <c r="E55" s="17" t="s">
        <v>394</v>
      </c>
      <c r="F55" s="17" t="n">
        <v>545</v>
      </c>
      <c r="G55" s="17" t="s">
        <v>395</v>
      </c>
      <c r="H55" s="17" t="n">
        <v>1990</v>
      </c>
      <c r="I55" s="17" t="n">
        <v>63253</v>
      </c>
      <c r="J55" s="18" t="n">
        <f aca="false">IFERROR(F55/I55*100,"n/a")</f>
        <v>0.861619211736993</v>
      </c>
      <c r="K55" s="17" t="n">
        <v>545</v>
      </c>
      <c r="L55" s="17" t="n">
        <v>1990</v>
      </c>
      <c r="M55" s="17" t="n">
        <v>63253</v>
      </c>
      <c r="N55" s="18" t="n">
        <f aca="false">IFERROR(K55/M55*100,"n/a")</f>
        <v>0.861619211736993</v>
      </c>
      <c r="O55" s="17" t="n">
        <v>185</v>
      </c>
      <c r="P55" s="17" t="n">
        <v>0</v>
      </c>
      <c r="Q55" s="21" t="s">
        <v>9</v>
      </c>
      <c r="R55" s="17" t="n">
        <v>0</v>
      </c>
      <c r="S55" s="17" t="n">
        <v>0</v>
      </c>
      <c r="T55" s="17" t="n">
        <v>0</v>
      </c>
      <c r="U55" s="17" t="n">
        <v>0</v>
      </c>
      <c r="V55" s="17" t="n">
        <v>0</v>
      </c>
      <c r="W55" s="21" t="s">
        <v>9</v>
      </c>
      <c r="X55" s="21" t="s">
        <v>9</v>
      </c>
      <c r="Y55" s="21" t="s">
        <v>9</v>
      </c>
      <c r="Z55" s="17" t="n">
        <v>0</v>
      </c>
      <c r="AA55" s="17" t="n">
        <v>0</v>
      </c>
      <c r="AB55" s="17" t="n">
        <v>0</v>
      </c>
      <c r="AC55" s="17" t="n">
        <v>0</v>
      </c>
      <c r="AD55" s="17" t="n">
        <v>0</v>
      </c>
      <c r="AE55" s="17" t="n">
        <v>0</v>
      </c>
      <c r="AF55" s="17" t="n">
        <v>0</v>
      </c>
      <c r="AG55" s="17" t="n">
        <v>0</v>
      </c>
      <c r="AH55" s="17" t="n">
        <v>0</v>
      </c>
      <c r="AI55" s="17" t="n">
        <v>0</v>
      </c>
      <c r="AJ55" s="18" t="str">
        <f aca="false">IF(S55=0,"n/a",IFERROR(AE55/S55,"n/a"))</f>
        <v>n/a</v>
      </c>
      <c r="AK55" s="17" t="s">
        <v>373</v>
      </c>
      <c r="AL55" s="17"/>
      <c r="AM55" s="17"/>
      <c r="AN55" s="17" t="n">
        <v>6</v>
      </c>
      <c r="AO55" s="17" t="n">
        <v>24</v>
      </c>
      <c r="AP55" s="17" t="n">
        <v>1999</v>
      </c>
      <c r="AQ55" s="17" t="n">
        <v>2023</v>
      </c>
      <c r="AR55" s="17" t="n">
        <v>13</v>
      </c>
      <c r="AS55" s="17" t="n">
        <v>2024</v>
      </c>
      <c r="AT55" s="17" t="n">
        <v>1990</v>
      </c>
      <c r="AU55" s="21" t="n">
        <v>2003</v>
      </c>
      <c r="AV55" s="17" t="n">
        <v>2025</v>
      </c>
      <c r="AW55" s="19" t="s">
        <v>518</v>
      </c>
      <c r="AX55" s="20" t="s">
        <v>519</v>
      </c>
      <c r="AY55" s="20" t="s">
        <v>480</v>
      </c>
      <c r="AZ55" s="20" t="n">
        <v>0</v>
      </c>
      <c r="BA55" s="19"/>
    </row>
    <row r="56" customFormat="false" ht="15" hidden="false" customHeight="true" outlineLevel="0" collapsed="false">
      <c r="A56" s="17" t="s">
        <v>520</v>
      </c>
      <c r="B56" s="17" t="s">
        <v>520</v>
      </c>
      <c r="C56" s="17" t="n">
        <v>452</v>
      </c>
      <c r="D56" s="17" t="n">
        <v>452</v>
      </c>
      <c r="E56" s="17" t="s">
        <v>371</v>
      </c>
      <c r="F56" s="17" t="n">
        <v>30</v>
      </c>
      <c r="G56" s="17" t="s">
        <v>372</v>
      </c>
      <c r="H56" s="17" t="n">
        <v>1966</v>
      </c>
      <c r="I56" s="17" t="n">
        <v>7995</v>
      </c>
      <c r="J56" s="18" t="n">
        <f aca="false">IFERROR(F56/I56*100,"n/a")</f>
        <v>0.375234521575985</v>
      </c>
      <c r="K56" s="17" t="n">
        <v>16</v>
      </c>
      <c r="L56" s="17" t="n">
        <v>2022</v>
      </c>
      <c r="M56" s="17" t="n">
        <v>33149</v>
      </c>
      <c r="N56" s="18" t="n">
        <f aca="false">IFERROR(K56/M56*100,"n/a")</f>
        <v>0.0482669160457329</v>
      </c>
      <c r="O56" s="17" t="n">
        <v>20</v>
      </c>
      <c r="P56" s="17" t="n">
        <v>0</v>
      </c>
      <c r="Q56" s="21" t="s">
        <v>9</v>
      </c>
      <c r="R56" s="17" t="n">
        <v>1</v>
      </c>
      <c r="S56" s="17" t="n">
        <v>3</v>
      </c>
      <c r="T56" s="17" t="n">
        <v>0</v>
      </c>
      <c r="U56" s="17" t="n">
        <v>3</v>
      </c>
      <c r="V56" s="17" t="n">
        <v>1</v>
      </c>
      <c r="W56" s="17" t="n">
        <v>1966</v>
      </c>
      <c r="X56" s="17" t="n">
        <v>1983</v>
      </c>
      <c r="Y56" s="17" t="n">
        <v>41</v>
      </c>
      <c r="Z56" s="17" t="n">
        <v>0</v>
      </c>
      <c r="AA56" s="17" t="n">
        <v>0</v>
      </c>
      <c r="AB56" s="17" t="n">
        <v>0</v>
      </c>
      <c r="AC56" s="17" t="n">
        <v>3</v>
      </c>
      <c r="AD56" s="17" t="n">
        <v>0</v>
      </c>
      <c r="AE56" s="17" t="n">
        <v>0</v>
      </c>
      <c r="AF56" s="17" t="n">
        <v>3</v>
      </c>
      <c r="AG56" s="17" t="n">
        <v>3</v>
      </c>
      <c r="AH56" s="17" t="n">
        <v>0</v>
      </c>
      <c r="AI56" s="17" t="n">
        <v>0</v>
      </c>
      <c r="AJ56" s="18" t="n">
        <f aca="false">IF(S56=0,"n/a",IFERROR(AE56/S56,"n/a"))</f>
        <v>0</v>
      </c>
      <c r="AK56" s="17" t="s">
        <v>373</v>
      </c>
      <c r="AL56" s="17"/>
      <c r="AM56" s="17" t="s">
        <v>521</v>
      </c>
      <c r="AN56" s="17" t="n">
        <v>8</v>
      </c>
      <c r="AO56" s="17" t="n">
        <v>14</v>
      </c>
      <c r="AP56" s="17" t="n">
        <v>1999</v>
      </c>
      <c r="AQ56" s="17" t="n">
        <v>2024</v>
      </c>
      <c r="AR56" s="17" t="n">
        <v>13</v>
      </c>
      <c r="AS56" s="17" t="n">
        <v>2024</v>
      </c>
      <c r="AT56" s="17" t="n">
        <v>2022</v>
      </c>
      <c r="AU56" s="21" t="n">
        <v>2003</v>
      </c>
      <c r="AV56" s="17" t="n">
        <v>2025</v>
      </c>
      <c r="AW56" s="19" t="s">
        <v>522</v>
      </c>
      <c r="AX56" s="20"/>
      <c r="AY56" s="20"/>
      <c r="AZ56" s="20" t="n">
        <v>0</v>
      </c>
      <c r="BA56" s="19" t="s">
        <v>389</v>
      </c>
    </row>
    <row r="57" customFormat="false" ht="15" hidden="false" customHeight="true" outlineLevel="0" collapsed="false">
      <c r="A57" s="17" t="s">
        <v>523</v>
      </c>
      <c r="B57" s="17" t="s">
        <v>523</v>
      </c>
      <c r="C57" s="17" t="n">
        <v>350</v>
      </c>
      <c r="D57" s="17" t="n">
        <v>350</v>
      </c>
      <c r="E57" s="17" t="s">
        <v>371</v>
      </c>
      <c r="F57" s="17" t="n">
        <v>223</v>
      </c>
      <c r="G57" s="17" t="s">
        <v>372</v>
      </c>
      <c r="H57" s="17" t="n">
        <v>1949</v>
      </c>
      <c r="I57" s="17" t="n">
        <v>7856</v>
      </c>
      <c r="J57" s="18" t="n">
        <f aca="false">IFERROR(F57/I57*100,"n/a")</f>
        <v>2.83859470468432</v>
      </c>
      <c r="K57" s="17" t="n">
        <v>132</v>
      </c>
      <c r="L57" s="17" t="n">
        <v>2022</v>
      </c>
      <c r="M57" s="17" t="n">
        <v>10412</v>
      </c>
      <c r="N57" s="18" t="n">
        <f aca="false">IFERROR(K57/M57*100,"n/a")</f>
        <v>1.2677679600461</v>
      </c>
      <c r="O57" s="17" t="n">
        <v>112</v>
      </c>
      <c r="P57" s="17" t="n">
        <v>169</v>
      </c>
      <c r="Q57" s="17" t="n">
        <v>1953</v>
      </c>
      <c r="R57" s="17" t="n">
        <v>1</v>
      </c>
      <c r="S57" s="17" t="n">
        <v>4</v>
      </c>
      <c r="T57" s="17" t="n">
        <v>4</v>
      </c>
      <c r="U57" s="17" t="n">
        <v>0</v>
      </c>
      <c r="V57" s="17" t="n">
        <v>4</v>
      </c>
      <c r="W57" s="17" t="n">
        <v>1946</v>
      </c>
      <c r="X57" s="17" t="n">
        <v>1949</v>
      </c>
      <c r="Y57" s="17" t="n">
        <v>75</v>
      </c>
      <c r="Z57" s="17" t="n">
        <v>0</v>
      </c>
      <c r="AA57" s="17" t="n">
        <v>0</v>
      </c>
      <c r="AB57" s="17" t="n">
        <v>0</v>
      </c>
      <c r="AC57" s="17" t="n">
        <v>4</v>
      </c>
      <c r="AD57" s="17" t="n">
        <v>0</v>
      </c>
      <c r="AE57" s="17" t="n">
        <v>0</v>
      </c>
      <c r="AF57" s="17" t="n">
        <v>4</v>
      </c>
      <c r="AG57" s="17" t="n">
        <v>4</v>
      </c>
      <c r="AH57" s="17" t="n">
        <v>0</v>
      </c>
      <c r="AI57" s="17" t="n">
        <v>0</v>
      </c>
      <c r="AJ57" s="18" t="n">
        <f aca="false">IF(S57=0,"n/a",IFERROR(AE57/S57,"n/a"))</f>
        <v>0</v>
      </c>
      <c r="AK57" s="17" t="s">
        <v>382</v>
      </c>
      <c r="AL57" s="17" t="n">
        <v>12</v>
      </c>
      <c r="AM57" s="17" t="s">
        <v>524</v>
      </c>
      <c r="AN57" s="17" t="n">
        <v>7</v>
      </c>
      <c r="AO57" s="17" t="n">
        <v>18</v>
      </c>
      <c r="AP57" s="17" t="n">
        <v>1950</v>
      </c>
      <c r="AQ57" s="17" t="n">
        <v>2022</v>
      </c>
      <c r="AR57" s="17" t="n">
        <v>15</v>
      </c>
      <c r="AS57" s="17" t="n">
        <v>2024</v>
      </c>
      <c r="AT57" s="17" t="n">
        <v>2022</v>
      </c>
      <c r="AU57" s="17" t="n">
        <v>2003</v>
      </c>
      <c r="AV57" s="17" t="n">
        <v>2025</v>
      </c>
      <c r="AW57" s="19" t="s">
        <v>525</v>
      </c>
      <c r="AX57" s="20"/>
      <c r="AY57" s="20"/>
      <c r="AZ57" s="20" t="n">
        <v>0</v>
      </c>
      <c r="BA57" s="19" t="s">
        <v>389</v>
      </c>
    </row>
    <row r="58" customFormat="false" ht="15" hidden="false" customHeight="true" outlineLevel="0" collapsed="false">
      <c r="A58" s="17" t="s">
        <v>526</v>
      </c>
      <c r="B58" s="17" t="s">
        <v>526</v>
      </c>
      <c r="C58" s="17" t="n">
        <v>90</v>
      </c>
      <c r="D58" s="17" t="n">
        <v>90</v>
      </c>
      <c r="E58" s="17" t="s">
        <v>371</v>
      </c>
      <c r="F58" s="17" t="n">
        <v>44</v>
      </c>
      <c r="G58" s="17" t="s">
        <v>372</v>
      </c>
      <c r="H58" s="17" t="n">
        <v>1992</v>
      </c>
      <c r="I58" s="17" t="n">
        <v>9745</v>
      </c>
      <c r="J58" s="18" t="n">
        <f aca="false">IFERROR(F58/I58*100,"n/a")</f>
        <v>0.451513596716265</v>
      </c>
      <c r="K58" s="17" t="n">
        <v>18</v>
      </c>
      <c r="L58" s="17" t="n">
        <v>2022</v>
      </c>
      <c r="M58" s="17" t="n">
        <v>17848</v>
      </c>
      <c r="N58" s="18" t="n">
        <f aca="false">IFERROR(K58/M58*100,"n/a")</f>
        <v>0.100851636037651</v>
      </c>
      <c r="O58" s="17" t="n">
        <v>20</v>
      </c>
      <c r="P58" s="17" t="n">
        <v>0</v>
      </c>
      <c r="Q58" s="21" t="s">
        <v>9</v>
      </c>
      <c r="R58" s="17" t="n">
        <v>1</v>
      </c>
      <c r="S58" s="17" t="n">
        <v>34</v>
      </c>
      <c r="T58" s="17" t="n">
        <v>0</v>
      </c>
      <c r="U58" s="17" t="n">
        <v>34</v>
      </c>
      <c r="V58" s="17" t="n">
        <v>31</v>
      </c>
      <c r="W58" s="17" t="n">
        <v>1949</v>
      </c>
      <c r="X58" s="17" t="n">
        <v>1995</v>
      </c>
      <c r="Y58" s="17" t="n">
        <v>29</v>
      </c>
      <c r="Z58" s="17" t="n">
        <v>0</v>
      </c>
      <c r="AA58" s="17" t="n">
        <v>0</v>
      </c>
      <c r="AB58" s="17" t="n">
        <v>0</v>
      </c>
      <c r="AC58" s="17" t="n">
        <v>34</v>
      </c>
      <c r="AD58" s="17" t="n">
        <v>0</v>
      </c>
      <c r="AE58" s="17" t="n">
        <v>0</v>
      </c>
      <c r="AF58" s="17" t="n">
        <v>34</v>
      </c>
      <c r="AG58" s="17" t="n">
        <v>34</v>
      </c>
      <c r="AH58" s="17" t="n">
        <v>0</v>
      </c>
      <c r="AI58" s="17" t="n">
        <v>0</v>
      </c>
      <c r="AJ58" s="18" t="n">
        <f aca="false">IF(S58=0,"n/a",IFERROR(AE58/S58,"n/a"))</f>
        <v>0</v>
      </c>
      <c r="AK58" s="17" t="s">
        <v>382</v>
      </c>
      <c r="AL58" s="17" t="n">
        <v>18</v>
      </c>
      <c r="AM58" s="17" t="s">
        <v>521</v>
      </c>
      <c r="AN58" s="17" t="n">
        <v>4</v>
      </c>
      <c r="AO58" s="17" t="n">
        <v>8</v>
      </c>
      <c r="AP58" s="17" t="n">
        <v>2014</v>
      </c>
      <c r="AQ58" s="17" t="n">
        <v>2023</v>
      </c>
      <c r="AR58" s="17" t="n">
        <v>1</v>
      </c>
      <c r="AS58" s="17" t="n">
        <v>2024</v>
      </c>
      <c r="AT58" s="17" t="n">
        <v>2022</v>
      </c>
      <c r="AU58" s="21" t="n">
        <v>2003</v>
      </c>
      <c r="AV58" s="17" t="n">
        <v>2025</v>
      </c>
      <c r="AW58" s="19" t="s">
        <v>527</v>
      </c>
      <c r="AX58" s="20"/>
      <c r="AY58" s="20"/>
      <c r="AZ58" s="20" t="n">
        <v>0</v>
      </c>
      <c r="BA58" s="19" t="s">
        <v>389</v>
      </c>
    </row>
    <row r="59" customFormat="false" ht="15" hidden="false" customHeight="true" outlineLevel="0" collapsed="false">
      <c r="A59" s="17" t="s">
        <v>528</v>
      </c>
      <c r="B59" s="17" t="s">
        <v>528</v>
      </c>
      <c r="C59" s="17" t="n">
        <v>438</v>
      </c>
      <c r="D59" s="17" t="n">
        <v>438</v>
      </c>
      <c r="E59" s="17" t="s">
        <v>371</v>
      </c>
      <c r="F59" s="17" t="n">
        <v>10</v>
      </c>
      <c r="G59" s="17" t="s">
        <v>372</v>
      </c>
      <c r="H59" s="17" t="n">
        <v>2000</v>
      </c>
      <c r="I59" s="17" t="n">
        <v>7430</v>
      </c>
      <c r="J59" s="18" t="n">
        <f aca="false">IFERROR(F59/I59*100,"n/a")</f>
        <v>0.134589502018843</v>
      </c>
      <c r="K59" s="17" t="n">
        <v>10</v>
      </c>
      <c r="L59" s="17" t="n">
        <v>2022</v>
      </c>
      <c r="M59" s="17" t="n">
        <v>14055</v>
      </c>
      <c r="N59" s="18" t="n">
        <f aca="false">IFERROR(K59/M59*100,"n/a")</f>
        <v>0.0711490572749911</v>
      </c>
      <c r="O59" s="17" t="n">
        <v>12</v>
      </c>
      <c r="P59" s="17" t="n">
        <v>0</v>
      </c>
      <c r="Q59" s="21" t="s">
        <v>9</v>
      </c>
      <c r="R59" s="17" t="n">
        <v>1</v>
      </c>
      <c r="S59" s="17" t="n">
        <v>2</v>
      </c>
      <c r="T59" s="17" t="n">
        <v>0</v>
      </c>
      <c r="U59" s="17" t="n">
        <v>2</v>
      </c>
      <c r="V59" s="17" t="n">
        <v>2</v>
      </c>
      <c r="W59" s="17" t="n">
        <v>2000</v>
      </c>
      <c r="X59" s="17" t="n">
        <v>2001</v>
      </c>
      <c r="Y59" s="17" t="n">
        <v>23</v>
      </c>
      <c r="Z59" s="17" t="n">
        <v>0</v>
      </c>
      <c r="AA59" s="17" t="n">
        <v>0</v>
      </c>
      <c r="AB59" s="17" t="n">
        <v>0</v>
      </c>
      <c r="AC59" s="17" t="n">
        <v>2</v>
      </c>
      <c r="AD59" s="17" t="n">
        <v>0</v>
      </c>
      <c r="AE59" s="17" t="n">
        <v>0</v>
      </c>
      <c r="AF59" s="17" t="n">
        <v>2</v>
      </c>
      <c r="AG59" s="17" t="n">
        <v>2</v>
      </c>
      <c r="AH59" s="17" t="n">
        <v>0</v>
      </c>
      <c r="AI59" s="17" t="n">
        <v>0</v>
      </c>
      <c r="AJ59" s="18" t="n">
        <f aca="false">IF(S59=0,"n/a",IFERROR(AE59/S59,"n/a"))</f>
        <v>0</v>
      </c>
      <c r="AK59" s="17" t="s">
        <v>382</v>
      </c>
      <c r="AL59" s="17" t="n">
        <v>10.5</v>
      </c>
      <c r="AM59" s="17" t="s">
        <v>529</v>
      </c>
      <c r="AN59" s="17" t="n">
        <v>7</v>
      </c>
      <c r="AO59" s="17" t="n">
        <v>21</v>
      </c>
      <c r="AP59" s="17" t="n">
        <v>1991</v>
      </c>
      <c r="AQ59" s="17" t="n">
        <v>2024</v>
      </c>
      <c r="AR59" s="17" t="n">
        <v>4</v>
      </c>
      <c r="AS59" s="17" t="n">
        <v>2024</v>
      </c>
      <c r="AT59" s="17" t="n">
        <v>2022</v>
      </c>
      <c r="AU59" s="21" t="n">
        <v>2003</v>
      </c>
      <c r="AV59" s="17" t="n">
        <v>2025</v>
      </c>
      <c r="AW59" s="19" t="s">
        <v>530</v>
      </c>
      <c r="AX59" s="20"/>
      <c r="AY59" s="20"/>
      <c r="AZ59" s="20" t="n">
        <v>0</v>
      </c>
      <c r="BA59" s="19" t="s">
        <v>389</v>
      </c>
    </row>
    <row r="60" customFormat="false" ht="15" hidden="false" customHeight="true" outlineLevel="0" collapsed="false">
      <c r="A60" s="17" t="s">
        <v>531</v>
      </c>
      <c r="B60" s="17" t="s">
        <v>531</v>
      </c>
      <c r="C60" s="17" t="n">
        <v>404</v>
      </c>
      <c r="D60" s="17" t="n">
        <v>404</v>
      </c>
      <c r="E60" s="17" t="s">
        <v>371</v>
      </c>
      <c r="F60" s="17" t="n">
        <v>7</v>
      </c>
      <c r="G60" s="17" t="s">
        <v>372</v>
      </c>
      <c r="H60" s="17" t="n">
        <v>1998</v>
      </c>
      <c r="I60" s="17" t="n">
        <v>1161</v>
      </c>
      <c r="J60" s="18" t="n">
        <f aca="false">IFERROR(F60/I60*100,"n/a")</f>
        <v>0.602928509905254</v>
      </c>
      <c r="K60" s="17" t="n">
        <v>4</v>
      </c>
      <c r="L60" s="17" t="n">
        <v>2022</v>
      </c>
      <c r="M60" s="17" t="n">
        <v>2106</v>
      </c>
      <c r="N60" s="18" t="n">
        <f aca="false">IFERROR(K60/M60*100,"n/a")</f>
        <v>0.189933523266857</v>
      </c>
      <c r="O60" s="17" t="n">
        <v>4</v>
      </c>
      <c r="P60" s="17" t="n">
        <v>0</v>
      </c>
      <c r="Q60" s="21" t="s">
        <v>9</v>
      </c>
      <c r="R60" s="17" t="n">
        <v>1</v>
      </c>
      <c r="S60" s="17" t="n">
        <v>2</v>
      </c>
      <c r="T60" s="17" t="n">
        <v>0</v>
      </c>
      <c r="U60" s="17" t="n">
        <v>2</v>
      </c>
      <c r="V60" s="17" t="n">
        <v>2</v>
      </c>
      <c r="W60" s="17" t="n">
        <v>1998</v>
      </c>
      <c r="X60" s="17" t="n">
        <v>1999</v>
      </c>
      <c r="Y60" s="17" t="n">
        <v>25</v>
      </c>
      <c r="Z60" s="17" t="n">
        <v>0</v>
      </c>
      <c r="AA60" s="17" t="n">
        <v>0</v>
      </c>
      <c r="AB60" s="17" t="n">
        <v>2</v>
      </c>
      <c r="AC60" s="17" t="n">
        <v>0</v>
      </c>
      <c r="AD60" s="17" t="n">
        <v>0</v>
      </c>
      <c r="AE60" s="17" t="n">
        <v>0</v>
      </c>
      <c r="AF60" s="17" t="n">
        <v>2</v>
      </c>
      <c r="AG60" s="17" t="n">
        <v>2</v>
      </c>
      <c r="AH60" s="17" t="n">
        <v>0</v>
      </c>
      <c r="AI60" s="17" t="n">
        <v>0</v>
      </c>
      <c r="AJ60" s="18" t="n">
        <f aca="false">IF(S60=0,"n/a",IFERROR(AE60/S60,"n/a"))</f>
        <v>0</v>
      </c>
      <c r="AK60" s="17" t="s">
        <v>382</v>
      </c>
      <c r="AL60" s="17"/>
      <c r="AM60" s="17" t="s">
        <v>421</v>
      </c>
      <c r="AN60" s="17" t="n">
        <v>3</v>
      </c>
      <c r="AO60" s="17" t="n">
        <v>5</v>
      </c>
      <c r="AP60" s="17" t="n">
        <v>2013</v>
      </c>
      <c r="AQ60" s="17" t="n">
        <v>2017</v>
      </c>
      <c r="AR60" s="17" t="n">
        <v>0</v>
      </c>
      <c r="AS60" s="17" t="n">
        <v>2024</v>
      </c>
      <c r="AT60" s="17" t="n">
        <v>2022</v>
      </c>
      <c r="AU60" s="21" t="n">
        <v>2003</v>
      </c>
      <c r="AV60" s="17" t="n">
        <v>2025</v>
      </c>
      <c r="AW60" s="19" t="s">
        <v>532</v>
      </c>
      <c r="AX60" s="20"/>
      <c r="AY60" s="20" t="s">
        <v>385</v>
      </c>
      <c r="AZ60" s="20" t="n">
        <v>0</v>
      </c>
      <c r="BA60" s="19" t="s">
        <v>389</v>
      </c>
    </row>
    <row r="61" customFormat="false" ht="15" hidden="false" customHeight="true" outlineLevel="0" collapsed="false">
      <c r="A61" s="17" t="s">
        <v>533</v>
      </c>
      <c r="B61" s="17" t="s">
        <v>533</v>
      </c>
      <c r="C61" s="17" t="n">
        <v>41</v>
      </c>
      <c r="D61" s="17" t="n">
        <v>41</v>
      </c>
      <c r="E61" s="17" t="s">
        <v>371</v>
      </c>
      <c r="F61" s="17" t="n">
        <v>9</v>
      </c>
      <c r="G61" s="17" t="s">
        <v>372</v>
      </c>
      <c r="H61" s="17" t="n">
        <v>1989</v>
      </c>
      <c r="I61" s="17" t="n">
        <v>6362</v>
      </c>
      <c r="J61" s="18" t="n">
        <f aca="false">IFERROR(F61/I61*100,"n/a")</f>
        <v>0.141464948129519</v>
      </c>
      <c r="K61" s="17" t="n">
        <v>1</v>
      </c>
      <c r="L61" s="17" t="n">
        <v>2022</v>
      </c>
      <c r="M61" s="17" t="n">
        <v>11504</v>
      </c>
      <c r="N61" s="18" t="n">
        <f aca="false">IFERROR(K61/M61*100,"n/a")</f>
        <v>0.00869262865090403</v>
      </c>
      <c r="O61" s="17"/>
      <c r="P61" s="17" t="n">
        <v>0</v>
      </c>
      <c r="Q61" s="21" t="s">
        <v>9</v>
      </c>
      <c r="R61" s="17" t="n">
        <v>1</v>
      </c>
      <c r="S61" s="17" t="n">
        <v>4</v>
      </c>
      <c r="T61" s="17" t="n">
        <v>0</v>
      </c>
      <c r="U61" s="17" t="n">
        <v>4</v>
      </c>
      <c r="V61" s="17" t="n">
        <v>1</v>
      </c>
      <c r="W61" s="17" t="n">
        <v>1989</v>
      </c>
      <c r="X61" s="17" t="n">
        <v>2024</v>
      </c>
      <c r="Y61" s="17" t="n">
        <v>0</v>
      </c>
      <c r="Z61" s="17" t="n">
        <v>0</v>
      </c>
      <c r="AA61" s="17" t="n">
        <v>0</v>
      </c>
      <c r="AB61" s="17" t="n">
        <v>1</v>
      </c>
      <c r="AC61" s="17" t="n">
        <v>3</v>
      </c>
      <c r="AD61" s="17" t="n">
        <v>0</v>
      </c>
      <c r="AE61" s="17" t="n">
        <v>0</v>
      </c>
      <c r="AF61" s="17" t="n">
        <v>4</v>
      </c>
      <c r="AG61" s="17" t="n">
        <v>4</v>
      </c>
      <c r="AH61" s="17" t="n">
        <v>0</v>
      </c>
      <c r="AI61" s="17" t="n">
        <v>0</v>
      </c>
      <c r="AJ61" s="18" t="n">
        <f aca="false">IF(S61=0,"n/a",IFERROR(AE61/S61,"n/a"))</f>
        <v>0</v>
      </c>
      <c r="AK61" s="17" t="s">
        <v>373</v>
      </c>
      <c r="AL61" s="17"/>
      <c r="AM61" s="17"/>
      <c r="AN61" s="17" t="n">
        <v>0</v>
      </c>
      <c r="AO61" s="17" t="n">
        <v>0</v>
      </c>
      <c r="AP61" s="21" t="s">
        <v>9</v>
      </c>
      <c r="AQ61" s="21" t="s">
        <v>9</v>
      </c>
      <c r="AR61" s="17" t="n">
        <v>0</v>
      </c>
      <c r="AS61" s="17" t="n">
        <v>2024</v>
      </c>
      <c r="AT61" s="17" t="n">
        <v>2022</v>
      </c>
      <c r="AU61" s="21" t="n">
        <v>2003</v>
      </c>
      <c r="AV61" s="17" t="n">
        <v>2025</v>
      </c>
      <c r="AW61" s="19" t="s">
        <v>534</v>
      </c>
      <c r="AX61" s="20"/>
      <c r="AY61" s="20"/>
      <c r="AZ61" s="20" t="n">
        <v>0</v>
      </c>
      <c r="BA61" s="19" t="s">
        <v>389</v>
      </c>
    </row>
    <row r="62" customFormat="false" ht="15" hidden="false" customHeight="true" outlineLevel="0" collapsed="false">
      <c r="A62" s="17" t="s">
        <v>535</v>
      </c>
      <c r="B62" s="17" t="s">
        <v>535</v>
      </c>
      <c r="C62" s="17" t="n">
        <v>91</v>
      </c>
      <c r="D62" s="17" t="n">
        <v>91</v>
      </c>
      <c r="E62" s="17" t="s">
        <v>371</v>
      </c>
      <c r="F62" s="17" t="n">
        <v>6</v>
      </c>
      <c r="G62" s="17" t="s">
        <v>372</v>
      </c>
      <c r="H62" s="17" t="n">
        <v>1969</v>
      </c>
      <c r="I62" s="17" t="n">
        <v>2565</v>
      </c>
      <c r="J62" s="18" t="n">
        <f aca="false">IFERROR(F62/I62*100,"n/a")</f>
        <v>0.233918128654971</v>
      </c>
      <c r="K62" s="17" t="n">
        <v>15</v>
      </c>
      <c r="L62" s="17" t="n">
        <v>2022</v>
      </c>
      <c r="M62" s="17" t="n">
        <v>10464</v>
      </c>
      <c r="N62" s="18" t="n">
        <f aca="false">IFERROR(K62/M62*100,"n/a")</f>
        <v>0.143348623853211</v>
      </c>
      <c r="O62" s="17" t="n">
        <v>15</v>
      </c>
      <c r="P62" s="17" t="n">
        <v>1200</v>
      </c>
      <c r="Q62" s="17" t="n">
        <v>1969</v>
      </c>
      <c r="R62" s="17" t="n">
        <v>2</v>
      </c>
      <c r="S62" s="17" t="n">
        <v>2</v>
      </c>
      <c r="T62" s="17" t="n">
        <v>1</v>
      </c>
      <c r="U62" s="17" t="n">
        <v>1</v>
      </c>
      <c r="V62" s="17" t="n">
        <v>1</v>
      </c>
      <c r="W62" s="17" t="n">
        <v>1957</v>
      </c>
      <c r="X62" s="17" t="n">
        <v>1969</v>
      </c>
      <c r="Y62" s="17" t="n">
        <v>55</v>
      </c>
      <c r="Z62" s="17" t="n">
        <v>2</v>
      </c>
      <c r="AA62" s="17" t="n">
        <v>2</v>
      </c>
      <c r="AB62" s="17" t="n">
        <v>0</v>
      </c>
      <c r="AC62" s="17" t="n">
        <v>0</v>
      </c>
      <c r="AD62" s="17" t="n">
        <v>0</v>
      </c>
      <c r="AE62" s="17" t="n">
        <v>2</v>
      </c>
      <c r="AF62" s="17" t="n">
        <v>0</v>
      </c>
      <c r="AG62" s="17" t="n">
        <v>2</v>
      </c>
      <c r="AH62" s="17" t="n">
        <v>0</v>
      </c>
      <c r="AI62" s="17" t="n">
        <v>0</v>
      </c>
      <c r="AJ62" s="18" t="n">
        <f aca="false">IF(S62=0,"n/a",IFERROR(AE62/S62,"n/a"))</f>
        <v>1</v>
      </c>
      <c r="AK62" s="17" t="s">
        <v>373</v>
      </c>
      <c r="AL62" s="17" t="n">
        <v>36</v>
      </c>
      <c r="AM62" s="17" t="s">
        <v>441</v>
      </c>
      <c r="AN62" s="17" t="n">
        <v>2</v>
      </c>
      <c r="AO62" s="17" t="n">
        <v>2</v>
      </c>
      <c r="AP62" s="17" t="n">
        <v>1991</v>
      </c>
      <c r="AQ62" s="17" t="n">
        <v>2004</v>
      </c>
      <c r="AR62" s="17" t="n">
        <v>2</v>
      </c>
      <c r="AS62" s="17" t="n">
        <v>2024</v>
      </c>
      <c r="AT62" s="17" t="n">
        <v>2022</v>
      </c>
      <c r="AU62" s="17" t="n">
        <v>2003</v>
      </c>
      <c r="AV62" s="17" t="n">
        <v>2025</v>
      </c>
      <c r="AW62" s="19" t="s">
        <v>536</v>
      </c>
      <c r="AX62" s="20"/>
      <c r="AY62" s="20" t="s">
        <v>472</v>
      </c>
      <c r="AZ62" s="20" t="n">
        <v>0</v>
      </c>
      <c r="BA62" s="19" t="s">
        <v>380</v>
      </c>
    </row>
    <row r="63" customFormat="false" ht="15" hidden="false" customHeight="true" outlineLevel="0" collapsed="false">
      <c r="A63" s="17" t="s">
        <v>537</v>
      </c>
      <c r="B63" s="17" t="s">
        <v>537</v>
      </c>
      <c r="C63" s="17" t="n">
        <v>310</v>
      </c>
      <c r="D63" s="17" t="n">
        <v>310</v>
      </c>
      <c r="E63" s="17" t="s">
        <v>371</v>
      </c>
      <c r="F63" s="17" t="n">
        <v>215</v>
      </c>
      <c r="G63" s="17" t="s">
        <v>372</v>
      </c>
      <c r="H63" s="17" t="n">
        <v>1956</v>
      </c>
      <c r="I63" s="17" t="n">
        <v>9911</v>
      </c>
      <c r="J63" s="18" t="n">
        <f aca="false">IFERROR(F63/I63*100,"n/a")</f>
        <v>2.16930683079407</v>
      </c>
      <c r="K63" s="17" t="n">
        <v>32</v>
      </c>
      <c r="L63" s="17" t="n">
        <v>2022</v>
      </c>
      <c r="M63" s="17" t="n">
        <v>9684</v>
      </c>
      <c r="N63" s="18" t="n">
        <f aca="false">IFERROR(K63/M63*100,"n/a")</f>
        <v>0.330441966129699</v>
      </c>
      <c r="O63" s="17" t="n">
        <v>30</v>
      </c>
      <c r="P63" s="17" t="n">
        <v>926</v>
      </c>
      <c r="Q63" s="17" t="n">
        <v>1956</v>
      </c>
      <c r="R63" s="17" t="n">
        <v>1</v>
      </c>
      <c r="S63" s="17" t="n">
        <v>1</v>
      </c>
      <c r="T63" s="17" t="n">
        <v>1</v>
      </c>
      <c r="U63" s="17" t="n">
        <v>0</v>
      </c>
      <c r="V63" s="17" t="n">
        <v>1</v>
      </c>
      <c r="W63" s="17" t="n">
        <v>1956</v>
      </c>
      <c r="X63" s="17" t="n">
        <v>1956</v>
      </c>
      <c r="Y63" s="17" t="n">
        <v>68</v>
      </c>
      <c r="Z63" s="17" t="n">
        <v>1</v>
      </c>
      <c r="AA63" s="17" t="n">
        <v>1</v>
      </c>
      <c r="AB63" s="17" t="n">
        <v>0</v>
      </c>
      <c r="AC63" s="17" t="n">
        <v>0</v>
      </c>
      <c r="AD63" s="17" t="n">
        <v>0</v>
      </c>
      <c r="AE63" s="17" t="n">
        <v>1</v>
      </c>
      <c r="AF63" s="17" t="n">
        <v>0</v>
      </c>
      <c r="AG63" s="17" t="n">
        <v>1</v>
      </c>
      <c r="AH63" s="17" t="n">
        <v>0</v>
      </c>
      <c r="AI63" s="17" t="n">
        <v>0</v>
      </c>
      <c r="AJ63" s="18" t="n">
        <f aca="false">IF(S63=0,"n/a",IFERROR(AE63/S63,"n/a"))</f>
        <v>1</v>
      </c>
      <c r="AK63" s="17" t="s">
        <v>373</v>
      </c>
      <c r="AL63" s="17"/>
      <c r="AM63" s="17" t="s">
        <v>431</v>
      </c>
      <c r="AN63" s="17" t="n">
        <v>6</v>
      </c>
      <c r="AO63" s="17" t="n">
        <v>14</v>
      </c>
      <c r="AP63" s="17" t="n">
        <v>1999</v>
      </c>
      <c r="AQ63" s="17" t="n">
        <v>2018</v>
      </c>
      <c r="AR63" s="17" t="n">
        <v>10</v>
      </c>
      <c r="AS63" s="17" t="n">
        <v>2024</v>
      </c>
      <c r="AT63" s="17" t="n">
        <v>2022</v>
      </c>
      <c r="AU63" s="17" t="n">
        <v>2003</v>
      </c>
      <c r="AV63" s="17" t="n">
        <v>2025</v>
      </c>
      <c r="AW63" s="19" t="s">
        <v>538</v>
      </c>
      <c r="AX63" s="20"/>
      <c r="AY63" s="20"/>
      <c r="AZ63" s="20" t="n">
        <v>0</v>
      </c>
      <c r="BA63" s="19" t="s">
        <v>380</v>
      </c>
    </row>
    <row r="64" customFormat="false" ht="15" hidden="false" customHeight="true" outlineLevel="0" collapsed="false">
      <c r="A64" s="17" t="s">
        <v>539</v>
      </c>
      <c r="B64" s="17" t="s">
        <v>539</v>
      </c>
      <c r="C64" s="17" t="n">
        <v>395</v>
      </c>
      <c r="D64" s="17" t="n">
        <v>395</v>
      </c>
      <c r="E64" s="17" t="s">
        <v>394</v>
      </c>
      <c r="F64" s="17" t="n">
        <v>0</v>
      </c>
      <c r="G64" s="17" t="s">
        <v>395</v>
      </c>
      <c r="H64" s="17" t="n">
        <v>1946</v>
      </c>
      <c r="I64" s="17" t="n">
        <v>132</v>
      </c>
      <c r="J64" s="18" t="n">
        <f aca="false">IFERROR(F64/I64*100,"n/a")</f>
        <v>0</v>
      </c>
      <c r="K64" s="17" t="n">
        <v>0</v>
      </c>
      <c r="L64" s="17" t="n">
        <v>2022</v>
      </c>
      <c r="M64" s="17" t="n">
        <v>380</v>
      </c>
      <c r="N64" s="18" t="n">
        <f aca="false">IFERROR(K64/M64*100,"n/a")</f>
        <v>0</v>
      </c>
      <c r="O64" s="17"/>
      <c r="P64" s="17" t="n">
        <v>0</v>
      </c>
      <c r="Q64" s="21" t="s">
        <v>9</v>
      </c>
      <c r="R64" s="17" t="n">
        <v>0</v>
      </c>
      <c r="S64" s="17" t="n">
        <v>0</v>
      </c>
      <c r="T64" s="17" t="n">
        <v>0</v>
      </c>
      <c r="U64" s="17" t="n">
        <v>0</v>
      </c>
      <c r="V64" s="17" t="n">
        <v>0</v>
      </c>
      <c r="W64" s="21" t="s">
        <v>9</v>
      </c>
      <c r="X64" s="21" t="s">
        <v>9</v>
      </c>
      <c r="Y64" s="21" t="s">
        <v>9</v>
      </c>
      <c r="Z64" s="17" t="n">
        <v>0</v>
      </c>
      <c r="AA64" s="17" t="n">
        <v>0</v>
      </c>
      <c r="AB64" s="17" t="n">
        <v>0</v>
      </c>
      <c r="AC64" s="17" t="n">
        <v>0</v>
      </c>
      <c r="AD64" s="17" t="n">
        <v>0</v>
      </c>
      <c r="AE64" s="17" t="n">
        <v>0</v>
      </c>
      <c r="AF64" s="17" t="n">
        <v>0</v>
      </c>
      <c r="AG64" s="17" t="n">
        <v>0</v>
      </c>
      <c r="AH64" s="17" t="n">
        <v>0</v>
      </c>
      <c r="AI64" s="17" t="n">
        <v>0</v>
      </c>
      <c r="AJ64" s="18" t="str">
        <f aca="false">IF(S64=0,"n/a",IFERROR(AE64/S64,"n/a"))</f>
        <v>n/a</v>
      </c>
      <c r="AK64" s="17"/>
      <c r="AL64" s="17"/>
      <c r="AM64" s="17"/>
      <c r="AN64" s="17" t="n">
        <v>2</v>
      </c>
      <c r="AO64" s="17" t="n">
        <v>10</v>
      </c>
      <c r="AP64" s="17" t="n">
        <v>1999</v>
      </c>
      <c r="AQ64" s="17" t="n">
        <v>2014</v>
      </c>
      <c r="AR64" s="17" t="n">
        <v>10</v>
      </c>
      <c r="AS64" s="17" t="n">
        <v>2024</v>
      </c>
      <c r="AT64" s="17" t="n">
        <v>2022</v>
      </c>
      <c r="AU64" s="21" t="n">
        <v>2003</v>
      </c>
      <c r="AV64" s="17"/>
      <c r="AW64" s="19"/>
      <c r="AX64" s="20"/>
      <c r="AY64" s="20"/>
      <c r="AZ64" s="20" t="n">
        <v>0</v>
      </c>
      <c r="BA64" s="19"/>
    </row>
    <row r="65" customFormat="false" ht="15" hidden="false" customHeight="true" outlineLevel="0" collapsed="false">
      <c r="A65" s="17" t="s">
        <v>540</v>
      </c>
      <c r="B65" s="17" t="s">
        <v>540</v>
      </c>
      <c r="C65" s="17" t="n">
        <v>750</v>
      </c>
      <c r="D65" s="17" t="n">
        <v>750</v>
      </c>
      <c r="E65" s="17" t="s">
        <v>371</v>
      </c>
      <c r="F65" s="17" t="n">
        <v>1560</v>
      </c>
      <c r="G65" s="17" t="s">
        <v>372</v>
      </c>
      <c r="H65" s="17" t="n">
        <v>1971</v>
      </c>
      <c r="I65" s="17" t="n">
        <v>551226</v>
      </c>
      <c r="J65" s="18" t="n">
        <f aca="false">IFERROR(F65/I65*100,"n/a")</f>
        <v>0.283005518607613</v>
      </c>
      <c r="K65" s="17" t="n">
        <v>1460</v>
      </c>
      <c r="L65" s="17" t="n">
        <v>2022</v>
      </c>
      <c r="M65" s="17" t="n">
        <v>1425423</v>
      </c>
      <c r="N65" s="18" t="n">
        <f aca="false">IFERROR(K65/M65*100,"n/a")</f>
        <v>0.102425736079746</v>
      </c>
      <c r="O65" s="17" t="n">
        <v>1500</v>
      </c>
      <c r="P65" s="17" t="n">
        <v>10829</v>
      </c>
      <c r="Q65" s="17" t="n">
        <v>1999</v>
      </c>
      <c r="R65" s="17" t="n">
        <v>15</v>
      </c>
      <c r="S65" s="17" t="n">
        <v>65</v>
      </c>
      <c r="T65" s="17" t="n">
        <v>16</v>
      </c>
      <c r="U65" s="17" t="n">
        <v>61</v>
      </c>
      <c r="V65" s="17" t="n">
        <v>46</v>
      </c>
      <c r="W65" s="17" t="n">
        <v>1948</v>
      </c>
      <c r="X65" s="17" t="n">
        <v>2024</v>
      </c>
      <c r="Y65" s="17" t="n">
        <v>0</v>
      </c>
      <c r="Z65" s="17" t="n">
        <v>29</v>
      </c>
      <c r="AA65" s="17" t="n">
        <v>29</v>
      </c>
      <c r="AB65" s="17" t="n">
        <v>0</v>
      </c>
      <c r="AC65" s="17" t="n">
        <v>65</v>
      </c>
      <c r="AD65" s="17" t="n">
        <v>0</v>
      </c>
      <c r="AE65" s="17" t="n">
        <v>29</v>
      </c>
      <c r="AF65" s="17" t="n">
        <v>65</v>
      </c>
      <c r="AG65" s="17" t="n">
        <v>65</v>
      </c>
      <c r="AH65" s="17" t="n">
        <v>0</v>
      </c>
      <c r="AI65" s="17" t="n">
        <v>0</v>
      </c>
      <c r="AJ65" s="18" t="n">
        <f aca="false">IF(S65=0,"n/a",IFERROR(AE65/S65,"n/a"))</f>
        <v>0.446153846153846</v>
      </c>
      <c r="AK65" s="17" t="s">
        <v>373</v>
      </c>
      <c r="AL65" s="17"/>
      <c r="AM65" s="17" t="s">
        <v>399</v>
      </c>
      <c r="AN65" s="17" t="n">
        <v>0</v>
      </c>
      <c r="AO65" s="17" t="n">
        <v>0</v>
      </c>
      <c r="AP65" s="21" t="s">
        <v>9</v>
      </c>
      <c r="AQ65" s="21" t="s">
        <v>9</v>
      </c>
      <c r="AR65" s="17" t="n">
        <v>0</v>
      </c>
      <c r="AS65" s="17" t="n">
        <v>2024</v>
      </c>
      <c r="AT65" s="17" t="n">
        <v>2022</v>
      </c>
      <c r="AU65" s="17" t="n">
        <v>2003</v>
      </c>
      <c r="AV65" s="17" t="n">
        <v>2025</v>
      </c>
      <c r="AW65" s="19" t="s">
        <v>541</v>
      </c>
      <c r="AX65" s="20"/>
      <c r="AY65" s="20"/>
      <c r="AZ65" s="20" t="n">
        <v>0</v>
      </c>
      <c r="BA65" s="19" t="s">
        <v>376</v>
      </c>
    </row>
    <row r="66" customFormat="false" ht="15" hidden="false" customHeight="true" outlineLevel="0" collapsed="false">
      <c r="A66" s="17" t="s">
        <v>542</v>
      </c>
      <c r="B66" s="17" t="s">
        <v>542</v>
      </c>
      <c r="C66" s="17" t="n">
        <v>850</v>
      </c>
      <c r="D66" s="17" t="n">
        <v>850</v>
      </c>
      <c r="E66" s="17" t="s">
        <v>371</v>
      </c>
      <c r="F66" s="17" t="n">
        <v>600</v>
      </c>
      <c r="G66" s="17" t="s">
        <v>372</v>
      </c>
      <c r="H66" s="17" t="n">
        <v>1950</v>
      </c>
      <c r="I66" s="17" t="n">
        <v>79538</v>
      </c>
      <c r="J66" s="18" t="n">
        <f aca="false">IFERROR(F66/I66*100,"n/a")</f>
        <v>0.754356408257688</v>
      </c>
      <c r="K66" s="17" t="n">
        <v>396</v>
      </c>
      <c r="L66" s="17" t="n">
        <v>2022</v>
      </c>
      <c r="M66" s="17" t="n">
        <v>278831</v>
      </c>
      <c r="N66" s="18" t="n">
        <f aca="false">IFERROR(K66/M66*100,"n/a")</f>
        <v>0.14202151123799</v>
      </c>
      <c r="O66" s="17" t="n">
        <v>400</v>
      </c>
      <c r="P66" s="17" t="n">
        <v>0</v>
      </c>
      <c r="Q66" s="21" t="s">
        <v>9</v>
      </c>
      <c r="R66" s="17" t="n">
        <v>7</v>
      </c>
      <c r="S66" s="17" t="n">
        <v>47</v>
      </c>
      <c r="T66" s="17" t="n">
        <v>10</v>
      </c>
      <c r="U66" s="17" t="n">
        <v>38</v>
      </c>
      <c r="V66" s="17" t="n">
        <v>14</v>
      </c>
      <c r="W66" s="17" t="n">
        <v>1950</v>
      </c>
      <c r="X66" s="17" t="n">
        <v>2024</v>
      </c>
      <c r="Y66" s="17" t="n">
        <v>0</v>
      </c>
      <c r="Z66" s="17" t="n">
        <v>5</v>
      </c>
      <c r="AA66" s="17" t="n">
        <v>5</v>
      </c>
      <c r="AB66" s="17" t="n">
        <v>0</v>
      </c>
      <c r="AC66" s="17" t="n">
        <v>43</v>
      </c>
      <c r="AD66" s="17" t="n">
        <v>0</v>
      </c>
      <c r="AE66" s="17" t="n">
        <v>0</v>
      </c>
      <c r="AF66" s="17" t="n">
        <v>43</v>
      </c>
      <c r="AG66" s="17" t="n">
        <v>43</v>
      </c>
      <c r="AH66" s="17" t="n">
        <v>0</v>
      </c>
      <c r="AI66" s="17" t="n">
        <v>5</v>
      </c>
      <c r="AJ66" s="18" t="n">
        <f aca="false">IF(S66=0,"n/a",IFERROR(AE66/S66,"n/a"))</f>
        <v>0</v>
      </c>
      <c r="AK66" s="17" t="s">
        <v>382</v>
      </c>
      <c r="AL66" s="17"/>
      <c r="AM66" s="17" t="s">
        <v>424</v>
      </c>
      <c r="AN66" s="17" t="n">
        <v>7</v>
      </c>
      <c r="AO66" s="17" t="n">
        <v>11</v>
      </c>
      <c r="AP66" s="17" t="n">
        <v>2014</v>
      </c>
      <c r="AQ66" s="17" t="n">
        <v>2024</v>
      </c>
      <c r="AR66" s="17" t="n">
        <v>1</v>
      </c>
      <c r="AS66" s="17" t="n">
        <v>2024</v>
      </c>
      <c r="AT66" s="17" t="n">
        <v>2022</v>
      </c>
      <c r="AU66" s="21" t="n">
        <v>2003</v>
      </c>
      <c r="AV66" s="17" t="n">
        <v>2025</v>
      </c>
      <c r="AW66" s="19" t="s">
        <v>543</v>
      </c>
      <c r="AX66" s="20"/>
      <c r="AY66" s="20" t="s">
        <v>385</v>
      </c>
      <c r="AZ66" s="20" t="n">
        <v>0</v>
      </c>
      <c r="BA66" s="19" t="s">
        <v>376</v>
      </c>
    </row>
    <row r="67" customFormat="false" ht="15" hidden="false" customHeight="true" outlineLevel="0" collapsed="false">
      <c r="A67" s="17" t="s">
        <v>544</v>
      </c>
      <c r="B67" s="17" t="s">
        <v>544</v>
      </c>
      <c r="C67" s="17" t="n">
        <v>630</v>
      </c>
      <c r="D67" s="17" t="n">
        <v>630</v>
      </c>
      <c r="E67" s="17" t="s">
        <v>371</v>
      </c>
      <c r="F67" s="17" t="n">
        <v>654</v>
      </c>
      <c r="G67" s="17" t="s">
        <v>372</v>
      </c>
      <c r="H67" s="17" t="n">
        <v>1988</v>
      </c>
      <c r="I67" s="17" t="n">
        <v>51909</v>
      </c>
      <c r="J67" s="18" t="n">
        <f aca="false">IFERROR(F67/I67*100,"n/a")</f>
        <v>1.25989712766572</v>
      </c>
      <c r="K67" s="17" t="n">
        <v>610</v>
      </c>
      <c r="L67" s="17" t="n">
        <v>2022</v>
      </c>
      <c r="M67" s="17" t="n">
        <v>89524</v>
      </c>
      <c r="N67" s="18" t="n">
        <f aca="false">IFERROR(K67/M67*100,"n/a")</f>
        <v>0.68138152897547</v>
      </c>
      <c r="O67" s="17" t="n">
        <v>600</v>
      </c>
      <c r="P67" s="17" t="n">
        <v>750000</v>
      </c>
      <c r="Q67" s="17" t="n">
        <v>1988</v>
      </c>
      <c r="R67" s="17" t="n">
        <v>7</v>
      </c>
      <c r="S67" s="17" t="n">
        <v>39</v>
      </c>
      <c r="T67" s="17" t="n">
        <v>10</v>
      </c>
      <c r="U67" s="17" t="n">
        <v>38</v>
      </c>
      <c r="V67" s="17" t="n">
        <v>10</v>
      </c>
      <c r="W67" s="17" t="n">
        <v>1946</v>
      </c>
      <c r="X67" s="17" t="n">
        <v>2024</v>
      </c>
      <c r="Y67" s="17" t="n">
        <v>0</v>
      </c>
      <c r="Z67" s="17" t="n">
        <v>17</v>
      </c>
      <c r="AA67" s="17" t="n">
        <v>17</v>
      </c>
      <c r="AB67" s="17" t="n">
        <v>1</v>
      </c>
      <c r="AC67" s="17" t="n">
        <v>36</v>
      </c>
      <c r="AD67" s="17" t="n">
        <v>0</v>
      </c>
      <c r="AE67" s="17" t="n">
        <v>17</v>
      </c>
      <c r="AF67" s="17" t="n">
        <v>37</v>
      </c>
      <c r="AG67" s="17" t="n">
        <v>39</v>
      </c>
      <c r="AH67" s="17" t="n">
        <v>0</v>
      </c>
      <c r="AI67" s="17" t="n">
        <v>0</v>
      </c>
      <c r="AJ67" s="18" t="n">
        <f aca="false">IF(S67=0,"n/a",IFERROR(AE67/S67,"n/a"))</f>
        <v>0.435897435897436</v>
      </c>
      <c r="AK67" s="17" t="s">
        <v>382</v>
      </c>
      <c r="AL67" s="17" t="n">
        <v>17.5</v>
      </c>
      <c r="AM67" s="17" t="s">
        <v>399</v>
      </c>
      <c r="AN67" s="17" t="n">
        <v>6</v>
      </c>
      <c r="AO67" s="17" t="n">
        <v>14</v>
      </c>
      <c r="AP67" s="17" t="n">
        <v>1973</v>
      </c>
      <c r="AQ67" s="17" t="n">
        <v>2024</v>
      </c>
      <c r="AR67" s="17" t="n">
        <v>10</v>
      </c>
      <c r="AS67" s="17" t="n">
        <v>2024</v>
      </c>
      <c r="AT67" s="17" t="n">
        <v>2022</v>
      </c>
      <c r="AU67" s="17" t="n">
        <v>2003</v>
      </c>
      <c r="AV67" s="17" t="n">
        <v>2025</v>
      </c>
      <c r="AW67" s="19" t="s">
        <v>545</v>
      </c>
      <c r="AX67" s="20"/>
      <c r="AY67" s="20"/>
      <c r="AZ67" s="20" t="n">
        <v>0</v>
      </c>
      <c r="BA67" s="19" t="s">
        <v>376</v>
      </c>
    </row>
    <row r="68" customFormat="false" ht="15" hidden="false" customHeight="true" outlineLevel="0" collapsed="false">
      <c r="A68" s="17" t="s">
        <v>546</v>
      </c>
      <c r="B68" s="17" t="s">
        <v>546</v>
      </c>
      <c r="C68" s="17" t="n">
        <v>645</v>
      </c>
      <c r="D68" s="17" t="n">
        <v>645</v>
      </c>
      <c r="E68" s="17" t="s">
        <v>371</v>
      </c>
      <c r="F68" s="17" t="n">
        <v>1390</v>
      </c>
      <c r="G68" s="17" t="s">
        <v>372</v>
      </c>
      <c r="H68" s="17" t="n">
        <v>1990</v>
      </c>
      <c r="I68" s="17" t="n">
        <v>18078</v>
      </c>
      <c r="J68" s="18" t="n">
        <f aca="false">IFERROR(F68/I68*100,"n/a")</f>
        <v>7.68890363978316</v>
      </c>
      <c r="K68" s="17" t="n">
        <v>193</v>
      </c>
      <c r="L68" s="17" t="n">
        <v>2022</v>
      </c>
      <c r="M68" s="17" t="n">
        <v>44071</v>
      </c>
      <c r="N68" s="18" t="n">
        <f aca="false">IFERROR(K68/M68*100,"n/a")</f>
        <v>0.437929704340723</v>
      </c>
      <c r="O68" s="17" t="n">
        <v>200</v>
      </c>
      <c r="P68" s="17" t="n">
        <v>547778</v>
      </c>
      <c r="Q68" s="17" t="n">
        <v>2003</v>
      </c>
      <c r="R68" s="17" t="n">
        <v>6</v>
      </c>
      <c r="S68" s="17" t="n">
        <v>60</v>
      </c>
      <c r="T68" s="17" t="n">
        <v>32</v>
      </c>
      <c r="U68" s="17" t="n">
        <v>39</v>
      </c>
      <c r="V68" s="17" t="n">
        <v>24</v>
      </c>
      <c r="W68" s="17" t="n">
        <v>1948</v>
      </c>
      <c r="X68" s="17" t="n">
        <v>2024</v>
      </c>
      <c r="Y68" s="17" t="n">
        <v>0</v>
      </c>
      <c r="Z68" s="17" t="n">
        <v>15</v>
      </c>
      <c r="AA68" s="17" t="n">
        <v>15</v>
      </c>
      <c r="AB68" s="17" t="n">
        <v>19</v>
      </c>
      <c r="AC68" s="17" t="n">
        <v>38</v>
      </c>
      <c r="AD68" s="17" t="n">
        <v>0</v>
      </c>
      <c r="AE68" s="17" t="n">
        <v>13</v>
      </c>
      <c r="AF68" s="17" t="n">
        <v>57</v>
      </c>
      <c r="AG68" s="17" t="n">
        <v>58</v>
      </c>
      <c r="AH68" s="17" t="n">
        <v>0</v>
      </c>
      <c r="AI68" s="17" t="n">
        <v>2</v>
      </c>
      <c r="AJ68" s="18" t="n">
        <f aca="false">IF(S68=0,"n/a",IFERROR(AE68/S68,"n/a"))</f>
        <v>0.216666666666667</v>
      </c>
      <c r="AK68" s="17" t="s">
        <v>373</v>
      </c>
      <c r="AL68" s="17"/>
      <c r="AM68" s="17" t="s">
        <v>547</v>
      </c>
      <c r="AN68" s="17" t="n">
        <v>0</v>
      </c>
      <c r="AO68" s="17" t="n">
        <v>0</v>
      </c>
      <c r="AP68" s="21" t="s">
        <v>9</v>
      </c>
      <c r="AQ68" s="21" t="s">
        <v>9</v>
      </c>
      <c r="AR68" s="17" t="n">
        <v>0</v>
      </c>
      <c r="AS68" s="17" t="n">
        <v>2024</v>
      </c>
      <c r="AT68" s="17" t="n">
        <v>2022</v>
      </c>
      <c r="AU68" s="17" t="n">
        <v>2003</v>
      </c>
      <c r="AV68" s="17" t="n">
        <v>2025</v>
      </c>
      <c r="AW68" s="19" t="s">
        <v>548</v>
      </c>
      <c r="AX68" s="20"/>
      <c r="AY68" s="20" t="s">
        <v>549</v>
      </c>
      <c r="AZ68" s="20" t="n">
        <v>0</v>
      </c>
      <c r="BA68" s="19" t="s">
        <v>376</v>
      </c>
    </row>
    <row r="69" customFormat="false" ht="15" hidden="false" customHeight="true" outlineLevel="0" collapsed="false">
      <c r="A69" s="17" t="s">
        <v>550</v>
      </c>
      <c r="B69" s="17" t="s">
        <v>550</v>
      </c>
      <c r="C69" s="17" t="n">
        <v>205</v>
      </c>
      <c r="D69" s="17" t="n">
        <v>205</v>
      </c>
      <c r="E69" s="17" t="s">
        <v>394</v>
      </c>
      <c r="F69" s="17" t="n">
        <v>21</v>
      </c>
      <c r="G69" s="17" t="s">
        <v>395</v>
      </c>
      <c r="H69" s="17" t="n">
        <v>1982</v>
      </c>
      <c r="I69" s="17" t="n">
        <v>3480</v>
      </c>
      <c r="J69" s="18" t="n">
        <f aca="false">IFERROR(F69/I69*100,"n/a")</f>
        <v>0.603448275862069</v>
      </c>
      <c r="K69" s="17" t="n">
        <v>8</v>
      </c>
      <c r="L69" s="17" t="n">
        <v>2022</v>
      </c>
      <c r="M69" s="17" t="n">
        <v>5110</v>
      </c>
      <c r="N69" s="18" t="n">
        <f aca="false">IFERROR(K69/M69*100,"n/a")</f>
        <v>0.156555772994129</v>
      </c>
      <c r="O69" s="17" t="n">
        <v>7.5</v>
      </c>
      <c r="P69" s="17" t="n">
        <v>0</v>
      </c>
      <c r="Q69" s="21" t="s">
        <v>9</v>
      </c>
      <c r="R69" s="17" t="n">
        <v>0</v>
      </c>
      <c r="S69" s="17" t="n">
        <v>0</v>
      </c>
      <c r="T69" s="17" t="n">
        <v>0</v>
      </c>
      <c r="U69" s="17" t="n">
        <v>0</v>
      </c>
      <c r="V69" s="17" t="n">
        <v>0</v>
      </c>
      <c r="W69" s="21" t="s">
        <v>9</v>
      </c>
      <c r="X69" s="21" t="s">
        <v>9</v>
      </c>
      <c r="Y69" s="21" t="s">
        <v>9</v>
      </c>
      <c r="Z69" s="17" t="n">
        <v>0</v>
      </c>
      <c r="AA69" s="17" t="n">
        <v>0</v>
      </c>
      <c r="AB69" s="17" t="n">
        <v>0</v>
      </c>
      <c r="AC69" s="17" t="n">
        <v>0</v>
      </c>
      <c r="AD69" s="17" t="n">
        <v>0</v>
      </c>
      <c r="AE69" s="17" t="n">
        <v>0</v>
      </c>
      <c r="AF69" s="17" t="n">
        <v>0</v>
      </c>
      <c r="AG69" s="17" t="n">
        <v>0</v>
      </c>
      <c r="AH69" s="17" t="n">
        <v>0</v>
      </c>
      <c r="AI69" s="17" t="n">
        <v>0</v>
      </c>
      <c r="AJ69" s="18" t="str">
        <f aca="false">IF(S69=0,"n/a",IFERROR(AE69/S69,"n/a"))</f>
        <v>n/a</v>
      </c>
      <c r="AK69" s="17" t="s">
        <v>373</v>
      </c>
      <c r="AL69" s="17"/>
      <c r="AM69" s="17" t="s">
        <v>551</v>
      </c>
      <c r="AN69" s="17" t="n">
        <v>3</v>
      </c>
      <c r="AO69" s="17" t="n">
        <v>11</v>
      </c>
      <c r="AP69" s="17" t="n">
        <v>2006</v>
      </c>
      <c r="AQ69" s="17" t="n">
        <v>2021</v>
      </c>
      <c r="AR69" s="17" t="n">
        <v>8</v>
      </c>
      <c r="AS69" s="17" t="n">
        <v>2024</v>
      </c>
      <c r="AT69" s="17" t="n">
        <v>2022</v>
      </c>
      <c r="AU69" s="21" t="n">
        <v>2003</v>
      </c>
      <c r="AV69" s="17" t="n">
        <v>2025</v>
      </c>
      <c r="AW69" s="19" t="s">
        <v>552</v>
      </c>
      <c r="AX69" s="20"/>
      <c r="AY69" s="20"/>
      <c r="AZ69" s="20" t="n">
        <v>0</v>
      </c>
      <c r="BA69" s="19"/>
    </row>
    <row r="70" customFormat="false" ht="15" hidden="false" customHeight="true" outlineLevel="0" collapsed="false">
      <c r="A70" s="17" t="s">
        <v>553</v>
      </c>
      <c r="B70" s="17" t="s">
        <v>553</v>
      </c>
      <c r="C70" s="17" t="n">
        <v>666</v>
      </c>
      <c r="D70" s="17" t="n">
        <v>666</v>
      </c>
      <c r="E70" s="17" t="s">
        <v>371</v>
      </c>
      <c r="F70" s="17" t="n">
        <v>205</v>
      </c>
      <c r="G70" s="17" t="s">
        <v>372</v>
      </c>
      <c r="H70" s="17" t="n">
        <v>1982</v>
      </c>
      <c r="I70" s="17" t="n">
        <v>4027</v>
      </c>
      <c r="J70" s="18" t="n">
        <f aca="false">IFERROR(F70/I70*100,"n/a")</f>
        <v>5.09063819220263</v>
      </c>
      <c r="K70" s="17" t="n">
        <v>170</v>
      </c>
      <c r="L70" s="17" t="n">
        <v>2022</v>
      </c>
      <c r="M70" s="17" t="n">
        <v>9103</v>
      </c>
      <c r="N70" s="18" t="n">
        <f aca="false">IFERROR(K70/M70*100,"n/a")</f>
        <v>1.86751620344941</v>
      </c>
      <c r="O70" s="17" t="n">
        <v>170</v>
      </c>
      <c r="P70" s="17" t="n">
        <v>7850</v>
      </c>
      <c r="Q70" s="17" t="n">
        <v>1982</v>
      </c>
      <c r="R70" s="17" t="n">
        <v>8</v>
      </c>
      <c r="S70" s="17" t="n">
        <v>73</v>
      </c>
      <c r="T70" s="17" t="n">
        <v>9</v>
      </c>
      <c r="U70" s="17" t="n">
        <v>70</v>
      </c>
      <c r="V70" s="17" t="n">
        <v>65</v>
      </c>
      <c r="W70" s="17" t="n">
        <v>1948</v>
      </c>
      <c r="X70" s="17" t="n">
        <v>2024</v>
      </c>
      <c r="Y70" s="17" t="n">
        <v>0</v>
      </c>
      <c r="Z70" s="17" t="n">
        <v>14</v>
      </c>
      <c r="AA70" s="17" t="n">
        <v>14</v>
      </c>
      <c r="AB70" s="17" t="n">
        <v>3</v>
      </c>
      <c r="AC70" s="17" t="n">
        <v>70</v>
      </c>
      <c r="AD70" s="17" t="n">
        <v>0</v>
      </c>
      <c r="AE70" s="17" t="n">
        <v>13</v>
      </c>
      <c r="AF70" s="17" t="n">
        <v>71</v>
      </c>
      <c r="AG70" s="17" t="n">
        <v>73</v>
      </c>
      <c r="AH70" s="17" t="n">
        <v>0</v>
      </c>
      <c r="AI70" s="17" t="n">
        <v>1</v>
      </c>
      <c r="AJ70" s="18" t="n">
        <f aca="false">IF(S70=0,"n/a",IFERROR(AE70/S70,"n/a"))</f>
        <v>0.178082191780822</v>
      </c>
      <c r="AK70" s="17" t="s">
        <v>382</v>
      </c>
      <c r="AL70" s="17" t="n">
        <v>18</v>
      </c>
      <c r="AM70" s="17" t="s">
        <v>383</v>
      </c>
      <c r="AN70" s="17" t="n">
        <v>0</v>
      </c>
      <c r="AO70" s="17" t="n">
        <v>0</v>
      </c>
      <c r="AP70" s="21" t="s">
        <v>9</v>
      </c>
      <c r="AQ70" s="21" t="s">
        <v>9</v>
      </c>
      <c r="AR70" s="17" t="n">
        <v>0</v>
      </c>
      <c r="AS70" s="17" t="n">
        <v>2024</v>
      </c>
      <c r="AT70" s="17" t="n">
        <v>2022</v>
      </c>
      <c r="AU70" s="17" t="n">
        <v>2003</v>
      </c>
      <c r="AV70" s="17" t="n">
        <v>2025</v>
      </c>
      <c r="AW70" s="19" t="s">
        <v>554</v>
      </c>
      <c r="AX70" s="20"/>
      <c r="AY70" s="20"/>
      <c r="AZ70" s="20" t="n">
        <v>0</v>
      </c>
      <c r="BA70" s="19" t="s">
        <v>376</v>
      </c>
    </row>
    <row r="71" customFormat="false" ht="15" hidden="false" customHeight="true" outlineLevel="0" collapsed="false">
      <c r="A71" s="17" t="s">
        <v>555</v>
      </c>
      <c r="B71" s="17" t="s">
        <v>556</v>
      </c>
      <c r="C71" s="17" t="n">
        <v>325</v>
      </c>
      <c r="D71" s="17" t="n">
        <v>325</v>
      </c>
      <c r="E71" s="17" t="s">
        <v>394</v>
      </c>
      <c r="F71" s="17" t="n">
        <v>590</v>
      </c>
      <c r="G71" s="17" t="s">
        <v>395</v>
      </c>
      <c r="H71" s="17" t="n">
        <v>1964</v>
      </c>
      <c r="I71" s="17" t="n">
        <v>51675</v>
      </c>
      <c r="J71" s="18" t="n">
        <f aca="false">IFERROR(F71/I71*100,"n/a")</f>
        <v>1.14175133043058</v>
      </c>
      <c r="K71" s="17" t="n">
        <v>161</v>
      </c>
      <c r="L71" s="17" t="n">
        <v>2022</v>
      </c>
      <c r="M71" s="17" t="n">
        <v>59619</v>
      </c>
      <c r="N71" s="18" t="n">
        <f aca="false">IFERROR(K71/M71*100,"n/a")</f>
        <v>0.270048139016086</v>
      </c>
      <c r="O71" s="17" t="n">
        <v>170</v>
      </c>
      <c r="P71" s="17" t="n">
        <v>0</v>
      </c>
      <c r="Q71" s="17" t="n">
        <v>1999</v>
      </c>
      <c r="R71" s="17" t="n">
        <v>0</v>
      </c>
      <c r="S71" s="17" t="n">
        <v>0</v>
      </c>
      <c r="T71" s="17" t="n">
        <v>0</v>
      </c>
      <c r="U71" s="17" t="n">
        <v>0</v>
      </c>
      <c r="V71" s="17" t="n">
        <v>0</v>
      </c>
      <c r="W71" s="21" t="s">
        <v>9</v>
      </c>
      <c r="X71" s="21" t="s">
        <v>9</v>
      </c>
      <c r="Y71" s="21" t="s">
        <v>9</v>
      </c>
      <c r="Z71" s="17" t="n">
        <v>0</v>
      </c>
      <c r="AA71" s="17" t="n">
        <v>0</v>
      </c>
      <c r="AB71" s="17" t="n">
        <v>0</v>
      </c>
      <c r="AC71" s="17" t="n">
        <v>0</v>
      </c>
      <c r="AD71" s="17" t="n">
        <v>0</v>
      </c>
      <c r="AE71" s="17" t="n">
        <v>0</v>
      </c>
      <c r="AF71" s="17" t="n">
        <v>0</v>
      </c>
      <c r="AG71" s="17" t="n">
        <v>0</v>
      </c>
      <c r="AH71" s="17" t="n">
        <v>0</v>
      </c>
      <c r="AI71" s="17" t="n">
        <v>0</v>
      </c>
      <c r="AJ71" s="18" t="str">
        <f aca="false">IF(S71=0,"n/a",IFERROR(AE71/S71,"n/a"))</f>
        <v>n/a</v>
      </c>
      <c r="AK71" s="17" t="s">
        <v>373</v>
      </c>
      <c r="AL71" s="17"/>
      <c r="AM71" s="17"/>
      <c r="AN71" s="17" t="n">
        <v>8</v>
      </c>
      <c r="AO71" s="17" t="n">
        <v>25</v>
      </c>
      <c r="AP71" s="17" t="n">
        <v>1991</v>
      </c>
      <c r="AQ71" s="17" t="n">
        <v>2023</v>
      </c>
      <c r="AR71" s="17" t="n">
        <v>15</v>
      </c>
      <c r="AS71" s="17" t="n">
        <v>2024</v>
      </c>
      <c r="AT71" s="17" t="n">
        <v>2022</v>
      </c>
      <c r="AU71" s="17" t="n">
        <v>2003</v>
      </c>
      <c r="AV71" s="17" t="n">
        <v>2025</v>
      </c>
      <c r="AW71" s="19" t="s">
        <v>557</v>
      </c>
      <c r="AX71" s="20"/>
      <c r="AY71" s="20"/>
      <c r="AZ71" s="20" t="n">
        <v>0</v>
      </c>
      <c r="BA71" s="19"/>
    </row>
    <row r="72" customFormat="false" ht="15" hidden="false" customHeight="true" outlineLevel="0" collapsed="false">
      <c r="A72" s="17" t="s">
        <v>558</v>
      </c>
      <c r="B72" s="17" t="s">
        <v>558</v>
      </c>
      <c r="C72" s="17" t="n">
        <v>740</v>
      </c>
      <c r="D72" s="17" t="n">
        <v>740</v>
      </c>
      <c r="E72" s="17" t="s">
        <v>394</v>
      </c>
      <c r="F72" s="17" t="n">
        <v>263</v>
      </c>
      <c r="G72" s="17" t="s">
        <v>395</v>
      </c>
      <c r="H72" s="17" t="n">
        <v>1960</v>
      </c>
      <c r="I72" s="17" t="n">
        <v>93216</v>
      </c>
      <c r="J72" s="18" t="n">
        <f aca="false">IFERROR(F72/I72*100,"n/a")</f>
        <v>0.282140405080673</v>
      </c>
      <c r="K72" s="17" t="n">
        <v>247</v>
      </c>
      <c r="L72" s="17" t="n">
        <v>2022</v>
      </c>
      <c r="M72" s="17" t="n">
        <v>124998</v>
      </c>
      <c r="N72" s="18" t="n">
        <f aca="false">IFERROR(K72/M72*100,"n/a")</f>
        <v>0.197603161650586</v>
      </c>
      <c r="O72" s="17" t="n">
        <v>240</v>
      </c>
      <c r="P72" s="17" t="n">
        <v>0</v>
      </c>
      <c r="Q72" s="21" t="s">
        <v>9</v>
      </c>
      <c r="R72" s="17" t="n">
        <v>0</v>
      </c>
      <c r="S72" s="17" t="n">
        <v>0</v>
      </c>
      <c r="T72" s="17" t="n">
        <v>0</v>
      </c>
      <c r="U72" s="17" t="n">
        <v>0</v>
      </c>
      <c r="V72" s="17" t="n">
        <v>0</v>
      </c>
      <c r="W72" s="21" t="s">
        <v>9</v>
      </c>
      <c r="X72" s="21" t="s">
        <v>9</v>
      </c>
      <c r="Y72" s="21" t="s">
        <v>9</v>
      </c>
      <c r="Z72" s="17" t="n">
        <v>0</v>
      </c>
      <c r="AA72" s="17" t="n">
        <v>0</v>
      </c>
      <c r="AB72" s="17" t="n">
        <v>0</v>
      </c>
      <c r="AC72" s="17" t="n">
        <v>0</v>
      </c>
      <c r="AD72" s="17" t="n">
        <v>0</v>
      </c>
      <c r="AE72" s="17" t="n">
        <v>0</v>
      </c>
      <c r="AF72" s="17" t="n">
        <v>0</v>
      </c>
      <c r="AG72" s="17" t="n">
        <v>0</v>
      </c>
      <c r="AH72" s="17" t="n">
        <v>0</v>
      </c>
      <c r="AI72" s="17" t="n">
        <v>0</v>
      </c>
      <c r="AJ72" s="18" t="str">
        <f aca="false">IF(S72=0,"n/a",IFERROR(AE72/S72,"n/a"))</f>
        <v>n/a</v>
      </c>
      <c r="AK72" s="17" t="s">
        <v>373</v>
      </c>
      <c r="AL72" s="17"/>
      <c r="AM72" s="17" t="s">
        <v>559</v>
      </c>
      <c r="AN72" s="17" t="n">
        <v>1</v>
      </c>
      <c r="AO72" s="17" t="n">
        <v>1</v>
      </c>
      <c r="AP72" s="17" t="n">
        <v>2002</v>
      </c>
      <c r="AQ72" s="17" t="n">
        <v>2002</v>
      </c>
      <c r="AR72" s="17" t="n">
        <v>0</v>
      </c>
      <c r="AS72" s="17" t="n">
        <v>2024</v>
      </c>
      <c r="AT72" s="17" t="n">
        <v>2022</v>
      </c>
      <c r="AU72" s="21" t="n">
        <v>2003</v>
      </c>
      <c r="AV72" s="17" t="n">
        <v>2025</v>
      </c>
      <c r="AW72" s="19" t="s">
        <v>560</v>
      </c>
      <c r="AX72" s="20"/>
      <c r="AY72" s="20"/>
      <c r="AZ72" s="20" t="n">
        <v>0</v>
      </c>
      <c r="BA72" s="19"/>
    </row>
    <row r="73" customFormat="false" ht="15" hidden="false" customHeight="true" outlineLevel="0" collapsed="false">
      <c r="A73" s="17" t="s">
        <v>561</v>
      </c>
      <c r="B73" s="17" t="s">
        <v>561</v>
      </c>
      <c r="C73" s="17" t="n">
        <v>663</v>
      </c>
      <c r="D73" s="17" t="n">
        <v>663</v>
      </c>
      <c r="E73" s="17" t="s">
        <v>371</v>
      </c>
      <c r="F73" s="17" t="n">
        <v>101</v>
      </c>
      <c r="G73" s="17" t="s">
        <v>372</v>
      </c>
      <c r="H73" s="17" t="n">
        <v>2016</v>
      </c>
      <c r="I73" s="17" t="n">
        <v>9456</v>
      </c>
      <c r="J73" s="18" t="n">
        <f aca="false">IFERROR(F73/I73*100,"n/a")</f>
        <v>1.06810490693739</v>
      </c>
      <c r="K73" s="17" t="n">
        <v>101</v>
      </c>
      <c r="L73" s="17" t="n">
        <v>2022</v>
      </c>
      <c r="M73" s="17" t="n">
        <v>11256</v>
      </c>
      <c r="N73" s="18" t="n">
        <f aca="false">IFERROR(K73/M73*100,"n/a")</f>
        <v>0.897299218194741</v>
      </c>
      <c r="O73" s="17" t="n">
        <v>100</v>
      </c>
      <c r="P73" s="17" t="n">
        <v>7123</v>
      </c>
      <c r="Q73" s="17" t="n">
        <v>1973</v>
      </c>
      <c r="R73" s="17" t="n">
        <v>3</v>
      </c>
      <c r="S73" s="17" t="n">
        <v>4</v>
      </c>
      <c r="T73" s="17" t="n">
        <v>2</v>
      </c>
      <c r="U73" s="17" t="n">
        <v>2</v>
      </c>
      <c r="V73" s="17" t="n">
        <v>2</v>
      </c>
      <c r="W73" s="17" t="n">
        <v>1948</v>
      </c>
      <c r="X73" s="17" t="n">
        <v>2016</v>
      </c>
      <c r="Y73" s="17" t="n">
        <v>8</v>
      </c>
      <c r="Z73" s="17" t="n">
        <v>3</v>
      </c>
      <c r="AA73" s="17" t="n">
        <v>3</v>
      </c>
      <c r="AB73" s="17" t="n">
        <v>0</v>
      </c>
      <c r="AC73" s="17" t="n">
        <v>1</v>
      </c>
      <c r="AD73" s="17" t="n">
        <v>0</v>
      </c>
      <c r="AE73" s="17" t="n">
        <v>1</v>
      </c>
      <c r="AF73" s="17" t="n">
        <v>1</v>
      </c>
      <c r="AG73" s="17" t="n">
        <v>2</v>
      </c>
      <c r="AH73" s="17" t="n">
        <v>0</v>
      </c>
      <c r="AI73" s="17" t="n">
        <v>2</v>
      </c>
      <c r="AJ73" s="18" t="n">
        <f aca="false">IF(S73=0,"n/a",IFERROR(AE73/S73,"n/a"))</f>
        <v>0.25</v>
      </c>
      <c r="AK73" s="17" t="s">
        <v>382</v>
      </c>
      <c r="AL73" s="17" t="n">
        <v>24</v>
      </c>
      <c r="AM73" s="17" t="s">
        <v>434</v>
      </c>
      <c r="AN73" s="17" t="n">
        <v>10</v>
      </c>
      <c r="AO73" s="17" t="n">
        <v>19</v>
      </c>
      <c r="AP73" s="17" t="n">
        <v>1975</v>
      </c>
      <c r="AQ73" s="17" t="n">
        <v>2024</v>
      </c>
      <c r="AR73" s="17" t="n">
        <v>7</v>
      </c>
      <c r="AS73" s="17" t="n">
        <v>2024</v>
      </c>
      <c r="AT73" s="17" t="n">
        <v>2022</v>
      </c>
      <c r="AU73" s="17" t="n">
        <v>2003</v>
      </c>
      <c r="AV73" s="17" t="n">
        <v>2025</v>
      </c>
      <c r="AW73" s="19" t="s">
        <v>562</v>
      </c>
      <c r="AX73" s="20"/>
      <c r="AY73" s="20"/>
      <c r="AZ73" s="20" t="n">
        <v>0</v>
      </c>
      <c r="BA73" s="19" t="s">
        <v>376</v>
      </c>
    </row>
    <row r="74" customFormat="false" ht="15" hidden="false" customHeight="true" outlineLevel="0" collapsed="false">
      <c r="A74" s="17" t="s">
        <v>563</v>
      </c>
      <c r="B74" s="17" t="s">
        <v>563</v>
      </c>
      <c r="C74" s="17" t="n">
        <v>705</v>
      </c>
      <c r="D74" s="17" t="n">
        <v>705</v>
      </c>
      <c r="E74" s="17" t="s">
        <v>394</v>
      </c>
      <c r="F74" s="17" t="n">
        <v>66</v>
      </c>
      <c r="G74" s="17" t="s">
        <v>395</v>
      </c>
      <c r="H74" s="17" t="n">
        <v>2003</v>
      </c>
      <c r="I74" s="17" t="n">
        <v>14748</v>
      </c>
      <c r="J74" s="18" t="n">
        <f aca="false">IFERROR(F74/I74*100,"n/a")</f>
        <v>0.447518307567128</v>
      </c>
      <c r="K74" s="17" t="n">
        <v>39</v>
      </c>
      <c r="L74" s="17" t="n">
        <v>2022</v>
      </c>
      <c r="M74" s="17" t="n">
        <v>20035</v>
      </c>
      <c r="N74" s="18" t="n">
        <f aca="false">IFERROR(K74/M74*100,"n/a")</f>
        <v>0.194659346144248</v>
      </c>
      <c r="O74" s="17" t="n">
        <v>50</v>
      </c>
      <c r="P74" s="17" t="n">
        <v>0</v>
      </c>
      <c r="Q74" s="21" t="s">
        <v>9</v>
      </c>
      <c r="R74" s="17" t="n">
        <v>0</v>
      </c>
      <c r="S74" s="17" t="n">
        <v>0</v>
      </c>
      <c r="T74" s="17" t="n">
        <v>0</v>
      </c>
      <c r="U74" s="17" t="n">
        <v>0</v>
      </c>
      <c r="V74" s="17" t="n">
        <v>0</v>
      </c>
      <c r="W74" s="21" t="s">
        <v>9</v>
      </c>
      <c r="X74" s="21" t="s">
        <v>9</v>
      </c>
      <c r="Y74" s="21" t="s">
        <v>9</v>
      </c>
      <c r="Z74" s="17" t="n">
        <v>0</v>
      </c>
      <c r="AA74" s="17" t="n">
        <v>0</v>
      </c>
      <c r="AB74" s="17" t="n">
        <v>0</v>
      </c>
      <c r="AC74" s="17" t="n">
        <v>0</v>
      </c>
      <c r="AD74" s="17" t="n">
        <v>0</v>
      </c>
      <c r="AE74" s="17" t="n">
        <v>0</v>
      </c>
      <c r="AF74" s="17" t="n">
        <v>0</v>
      </c>
      <c r="AG74" s="17" t="n">
        <v>0</v>
      </c>
      <c r="AH74" s="17" t="n">
        <v>0</v>
      </c>
      <c r="AI74" s="17" t="n">
        <v>0</v>
      </c>
      <c r="AJ74" s="18" t="str">
        <f aca="false">IF(S74=0,"n/a",IFERROR(AE74/S74,"n/a"))</f>
        <v>n/a</v>
      </c>
      <c r="AK74" s="17" t="s">
        <v>382</v>
      </c>
      <c r="AL74" s="17" t="n">
        <v>18</v>
      </c>
      <c r="AM74" s="17" t="s">
        <v>410</v>
      </c>
      <c r="AN74" s="17" t="n">
        <v>2</v>
      </c>
      <c r="AO74" s="17" t="n">
        <v>6</v>
      </c>
      <c r="AP74" s="17" t="n">
        <v>2004</v>
      </c>
      <c r="AQ74" s="17" t="n">
        <v>2022</v>
      </c>
      <c r="AR74" s="17" t="n">
        <v>5</v>
      </c>
      <c r="AS74" s="17" t="n">
        <v>2024</v>
      </c>
      <c r="AT74" s="17" t="n">
        <v>2022</v>
      </c>
      <c r="AU74" s="21" t="n">
        <v>2003</v>
      </c>
      <c r="AV74" s="17" t="n">
        <v>2025</v>
      </c>
      <c r="AW74" s="19" t="s">
        <v>564</v>
      </c>
      <c r="AX74" s="20"/>
      <c r="AY74" s="20"/>
      <c r="AZ74" s="20" t="n">
        <v>0</v>
      </c>
      <c r="BA74" s="19"/>
    </row>
    <row r="75" customFormat="false" ht="15" hidden="false" customHeight="true" outlineLevel="0" collapsed="false">
      <c r="A75" s="17" t="s">
        <v>565</v>
      </c>
      <c r="B75" s="17" t="s">
        <v>565</v>
      </c>
      <c r="C75" s="17" t="n">
        <v>501</v>
      </c>
      <c r="D75" s="17" t="n">
        <v>501</v>
      </c>
      <c r="E75" s="17" t="s">
        <v>371</v>
      </c>
      <c r="F75" s="17" t="n">
        <v>24</v>
      </c>
      <c r="G75" s="17" t="s">
        <v>372</v>
      </c>
      <c r="H75" s="17" t="n">
        <v>2015</v>
      </c>
      <c r="I75" s="17" t="n">
        <v>47236</v>
      </c>
      <c r="J75" s="18" t="n">
        <f aca="false">IFERROR(F75/I75*100,"n/a")</f>
        <v>0.0508087052248285</v>
      </c>
      <c r="K75" s="17" t="n">
        <v>24</v>
      </c>
      <c r="L75" s="17" t="n">
        <v>2022</v>
      </c>
      <c r="M75" s="17" t="n">
        <v>54252</v>
      </c>
      <c r="N75" s="18" t="n">
        <f aca="false">IFERROR(K75/M75*100,"n/a")</f>
        <v>0.04423800044238</v>
      </c>
      <c r="O75" s="17" t="n">
        <v>25</v>
      </c>
      <c r="P75" s="17" t="n">
        <v>0</v>
      </c>
      <c r="Q75" s="21" t="s">
        <v>9</v>
      </c>
      <c r="R75" s="17" t="n">
        <v>2</v>
      </c>
      <c r="S75" s="17" t="n">
        <v>11</v>
      </c>
      <c r="T75" s="17" t="n">
        <v>0</v>
      </c>
      <c r="U75" s="17" t="n">
        <v>11</v>
      </c>
      <c r="V75" s="17" t="n">
        <v>10</v>
      </c>
      <c r="W75" s="17" t="n">
        <v>1982</v>
      </c>
      <c r="X75" s="17" t="n">
        <v>2024</v>
      </c>
      <c r="Y75" s="17" t="n">
        <v>0</v>
      </c>
      <c r="Z75" s="17" t="n">
        <v>0</v>
      </c>
      <c r="AA75" s="17" t="n">
        <v>0</v>
      </c>
      <c r="AB75" s="17" t="n">
        <v>3</v>
      </c>
      <c r="AC75" s="17" t="n">
        <v>8</v>
      </c>
      <c r="AD75" s="17" t="n">
        <v>0</v>
      </c>
      <c r="AE75" s="17" t="n">
        <v>0</v>
      </c>
      <c r="AF75" s="17" t="n">
        <v>11</v>
      </c>
      <c r="AG75" s="17" t="n">
        <v>11</v>
      </c>
      <c r="AH75" s="17" t="n">
        <v>0</v>
      </c>
      <c r="AI75" s="17" t="n">
        <v>0</v>
      </c>
      <c r="AJ75" s="18" t="n">
        <f aca="false">IF(S75=0,"n/a",IFERROR(AE75/S75,"n/a"))</f>
        <v>0</v>
      </c>
      <c r="AK75" s="17" t="s">
        <v>373</v>
      </c>
      <c r="AL75" s="17" t="n">
        <v>108</v>
      </c>
      <c r="AM75" s="17" t="s">
        <v>428</v>
      </c>
      <c r="AN75" s="17" t="n">
        <v>10</v>
      </c>
      <c r="AO75" s="17" t="n">
        <v>14</v>
      </c>
      <c r="AP75" s="17" t="n">
        <v>2011</v>
      </c>
      <c r="AQ75" s="17" t="n">
        <v>2024</v>
      </c>
      <c r="AR75" s="17" t="n">
        <v>13</v>
      </c>
      <c r="AS75" s="17" t="n">
        <v>2024</v>
      </c>
      <c r="AT75" s="17" t="n">
        <v>2022</v>
      </c>
      <c r="AU75" s="21" t="n">
        <v>2003</v>
      </c>
      <c r="AV75" s="17" t="n">
        <v>2025</v>
      </c>
      <c r="AW75" s="19" t="s">
        <v>566</v>
      </c>
      <c r="AX75" s="20"/>
      <c r="AY75" s="20" t="s">
        <v>567</v>
      </c>
      <c r="AZ75" s="20" t="n">
        <v>0</v>
      </c>
      <c r="BA75" s="19" t="s">
        <v>389</v>
      </c>
    </row>
    <row r="76" customFormat="false" ht="15" hidden="false" customHeight="true" outlineLevel="0" collapsed="false">
      <c r="A76" s="17" t="s">
        <v>568</v>
      </c>
      <c r="B76" s="17" t="s">
        <v>568</v>
      </c>
      <c r="C76" s="17" t="n">
        <v>690</v>
      </c>
      <c r="D76" s="17" t="n">
        <v>690</v>
      </c>
      <c r="E76" s="17" t="s">
        <v>371</v>
      </c>
      <c r="F76" s="17" t="n">
        <v>10</v>
      </c>
      <c r="G76" s="17" t="s">
        <v>372</v>
      </c>
      <c r="H76" s="17" t="n">
        <v>1991</v>
      </c>
      <c r="I76" s="17" t="n">
        <v>2095</v>
      </c>
      <c r="J76" s="18" t="n">
        <f aca="false">IFERROR(F76/I76*100,"n/a")</f>
        <v>0.477326968973747</v>
      </c>
      <c r="K76" s="17" t="n">
        <v>18</v>
      </c>
      <c r="L76" s="17" t="n">
        <v>2022</v>
      </c>
      <c r="M76" s="17" t="n">
        <v>4590</v>
      </c>
      <c r="N76" s="18" t="n">
        <f aca="false">IFERROR(K76/M76*100,"n/a")</f>
        <v>0.392156862745098</v>
      </c>
      <c r="O76" s="17" t="n">
        <v>17</v>
      </c>
      <c r="P76" s="17" t="n">
        <v>1000</v>
      </c>
      <c r="Q76" s="17" t="n">
        <v>1991</v>
      </c>
      <c r="R76" s="17" t="n">
        <v>1</v>
      </c>
      <c r="S76" s="17" t="n">
        <v>2</v>
      </c>
      <c r="T76" s="17" t="n">
        <v>2</v>
      </c>
      <c r="U76" s="17" t="n">
        <v>0</v>
      </c>
      <c r="V76" s="17" t="n">
        <v>2</v>
      </c>
      <c r="W76" s="17" t="n">
        <v>1990</v>
      </c>
      <c r="X76" s="17" t="n">
        <v>1991</v>
      </c>
      <c r="Y76" s="17" t="n">
        <v>33</v>
      </c>
      <c r="Z76" s="17" t="n">
        <v>2</v>
      </c>
      <c r="AA76" s="17" t="n">
        <v>2</v>
      </c>
      <c r="AB76" s="17" t="n">
        <v>0</v>
      </c>
      <c r="AC76" s="17" t="n">
        <v>0</v>
      </c>
      <c r="AD76" s="17" t="n">
        <v>0</v>
      </c>
      <c r="AE76" s="17" t="n">
        <v>2</v>
      </c>
      <c r="AF76" s="17" t="n">
        <v>0</v>
      </c>
      <c r="AG76" s="17" t="n">
        <v>2</v>
      </c>
      <c r="AH76" s="17" t="n">
        <v>0</v>
      </c>
      <c r="AI76" s="17" t="n">
        <v>0</v>
      </c>
      <c r="AJ76" s="18" t="n">
        <f aca="false">IF(S76=0,"n/a",IFERROR(AE76/S76,"n/a"))</f>
        <v>1</v>
      </c>
      <c r="AK76" s="17" t="s">
        <v>382</v>
      </c>
      <c r="AL76" s="17"/>
      <c r="AM76" s="17" t="s">
        <v>569</v>
      </c>
      <c r="AN76" s="17" t="n">
        <v>2</v>
      </c>
      <c r="AO76" s="17" t="n">
        <v>3</v>
      </c>
      <c r="AP76" s="17" t="n">
        <v>2005</v>
      </c>
      <c r="AQ76" s="17" t="n">
        <v>2016</v>
      </c>
      <c r="AR76" s="17" t="n">
        <v>2</v>
      </c>
      <c r="AS76" s="17" t="n">
        <v>2024</v>
      </c>
      <c r="AT76" s="17" t="n">
        <v>2022</v>
      </c>
      <c r="AU76" s="17" t="n">
        <v>2003</v>
      </c>
      <c r="AV76" s="17" t="n">
        <v>2025</v>
      </c>
      <c r="AW76" s="19" t="s">
        <v>570</v>
      </c>
      <c r="AX76" s="20"/>
      <c r="AY76" s="20" t="s">
        <v>385</v>
      </c>
      <c r="AZ76" s="20" t="n">
        <v>0</v>
      </c>
      <c r="BA76" s="19" t="s">
        <v>380</v>
      </c>
    </row>
    <row r="77" customFormat="false" ht="15" hidden="false" customHeight="true" outlineLevel="0" collapsed="false">
      <c r="A77" s="17" t="s">
        <v>571</v>
      </c>
      <c r="B77" s="17" t="s">
        <v>572</v>
      </c>
      <c r="C77" s="17" t="n">
        <v>703</v>
      </c>
      <c r="D77" s="17" t="n">
        <v>703</v>
      </c>
      <c r="E77" s="17" t="s">
        <v>371</v>
      </c>
      <c r="F77" s="17" t="n">
        <v>11</v>
      </c>
      <c r="G77" s="17" t="s">
        <v>372</v>
      </c>
      <c r="H77" s="17" t="n">
        <v>2021</v>
      </c>
      <c r="I77" s="17" t="n">
        <v>6820</v>
      </c>
      <c r="J77" s="18" t="n">
        <f aca="false">IFERROR(F77/I77*100,"n/a")</f>
        <v>0.161290322580645</v>
      </c>
      <c r="K77" s="17" t="n">
        <v>11</v>
      </c>
      <c r="L77" s="17" t="n">
        <v>2022</v>
      </c>
      <c r="M77" s="17" t="n">
        <v>6956</v>
      </c>
      <c r="N77" s="18" t="n">
        <f aca="false">IFERROR(K77/M77*100,"n/a")</f>
        <v>0.15813686026452</v>
      </c>
      <c r="O77" s="17" t="n">
        <v>15</v>
      </c>
      <c r="P77" s="21" t="s">
        <v>9</v>
      </c>
      <c r="Q77" s="21" t="s">
        <v>9</v>
      </c>
      <c r="R77" s="17" t="n">
        <v>1</v>
      </c>
      <c r="S77" s="17" t="n">
        <v>2</v>
      </c>
      <c r="T77" s="17" t="n">
        <v>0</v>
      </c>
      <c r="U77" s="17" t="n">
        <v>2</v>
      </c>
      <c r="V77" s="17" t="n">
        <v>2</v>
      </c>
      <c r="W77" s="17" t="n">
        <v>2021</v>
      </c>
      <c r="X77" s="17" t="n">
        <v>2022</v>
      </c>
      <c r="Y77" s="17" t="n">
        <v>2</v>
      </c>
      <c r="Z77" s="17" t="n">
        <v>2</v>
      </c>
      <c r="AA77" s="17" t="n">
        <v>2</v>
      </c>
      <c r="AB77" s="17" t="n">
        <v>0</v>
      </c>
      <c r="AC77" s="17" t="n">
        <v>0</v>
      </c>
      <c r="AD77" s="17" t="n">
        <v>0</v>
      </c>
      <c r="AE77" s="17" t="n">
        <v>2</v>
      </c>
      <c r="AF77" s="17" t="n">
        <v>0</v>
      </c>
      <c r="AG77" s="17" t="n">
        <v>2</v>
      </c>
      <c r="AH77" s="17" t="n">
        <v>0</v>
      </c>
      <c r="AI77" s="17" t="n">
        <v>0</v>
      </c>
      <c r="AJ77" s="18" t="n">
        <f aca="false">IF(S77=0,"n/a",IFERROR(AE77/S77,"n/a"))</f>
        <v>1</v>
      </c>
      <c r="AK77" s="17" t="s">
        <v>382</v>
      </c>
      <c r="AL77" s="17" t="n">
        <v>12</v>
      </c>
      <c r="AM77" s="17" t="s">
        <v>407</v>
      </c>
      <c r="AN77" s="17" t="n">
        <v>1</v>
      </c>
      <c r="AO77" s="17" t="n">
        <v>1</v>
      </c>
      <c r="AP77" s="17" t="n">
        <v>2000</v>
      </c>
      <c r="AQ77" s="17" t="n">
        <v>2000</v>
      </c>
      <c r="AR77" s="17" t="n">
        <v>0</v>
      </c>
      <c r="AS77" s="17" t="n">
        <v>2024</v>
      </c>
      <c r="AT77" s="17" t="n">
        <v>2022</v>
      </c>
      <c r="AU77" s="21" t="n">
        <v>2003</v>
      </c>
      <c r="AV77" s="17" t="n">
        <v>2025</v>
      </c>
      <c r="AW77" s="19" t="s">
        <v>573</v>
      </c>
      <c r="AX77" s="20"/>
      <c r="AY77" s="20"/>
      <c r="AZ77" s="20" t="n">
        <v>0</v>
      </c>
      <c r="BA77" s="19" t="s">
        <v>380</v>
      </c>
    </row>
    <row r="78" customFormat="false" ht="15" hidden="false" customHeight="true" outlineLevel="0" collapsed="false">
      <c r="A78" s="17" t="s">
        <v>574</v>
      </c>
      <c r="B78" s="17" t="s">
        <v>574</v>
      </c>
      <c r="C78" s="17" t="n">
        <v>812</v>
      </c>
      <c r="D78" s="17" t="n">
        <v>812</v>
      </c>
      <c r="E78" s="17" t="s">
        <v>371</v>
      </c>
      <c r="F78" s="17" t="n">
        <v>93</v>
      </c>
      <c r="G78" s="17" t="s">
        <v>372</v>
      </c>
      <c r="H78" s="17" t="n">
        <v>1966</v>
      </c>
      <c r="I78" s="17" t="n">
        <v>2694</v>
      </c>
      <c r="J78" s="18" t="n">
        <f aca="false">IFERROR(F78/I78*100,"n/a")</f>
        <v>3.45211581291759</v>
      </c>
      <c r="K78" s="17" t="n">
        <v>29</v>
      </c>
      <c r="L78" s="17" t="n">
        <v>2022</v>
      </c>
      <c r="M78" s="17" t="n">
        <v>7559</v>
      </c>
      <c r="N78" s="18" t="n">
        <f aca="false">IFERROR(K78/M78*100,"n/a")</f>
        <v>0.383648630771266</v>
      </c>
      <c r="O78" s="17" t="n">
        <v>30</v>
      </c>
      <c r="P78" s="17" t="n">
        <v>11250</v>
      </c>
      <c r="Q78" s="17" t="n">
        <v>1973</v>
      </c>
      <c r="R78" s="17" t="n">
        <v>2</v>
      </c>
      <c r="S78" s="17" t="n">
        <v>19</v>
      </c>
      <c r="T78" s="17" t="n">
        <v>14</v>
      </c>
      <c r="U78" s="17" t="n">
        <v>5</v>
      </c>
      <c r="V78" s="17" t="n">
        <v>11</v>
      </c>
      <c r="W78" s="17" t="n">
        <v>1959</v>
      </c>
      <c r="X78" s="17" t="n">
        <v>1990</v>
      </c>
      <c r="Y78" s="17" t="n">
        <v>34</v>
      </c>
      <c r="Z78" s="17" t="n">
        <v>3</v>
      </c>
      <c r="AA78" s="17" t="n">
        <v>3</v>
      </c>
      <c r="AB78" s="17" t="n">
        <v>13</v>
      </c>
      <c r="AC78" s="17" t="n">
        <v>3</v>
      </c>
      <c r="AD78" s="17" t="n">
        <v>0</v>
      </c>
      <c r="AE78" s="17" t="n">
        <v>3</v>
      </c>
      <c r="AF78" s="17" t="n">
        <v>16</v>
      </c>
      <c r="AG78" s="17" t="n">
        <v>19</v>
      </c>
      <c r="AH78" s="17" t="n">
        <v>0</v>
      </c>
      <c r="AI78" s="17" t="n">
        <v>0</v>
      </c>
      <c r="AJ78" s="18" t="n">
        <f aca="false">IF(S78=0,"n/a",IFERROR(AE78/S78,"n/a"))</f>
        <v>0.157894736842105</v>
      </c>
      <c r="AK78" s="17" t="s">
        <v>373</v>
      </c>
      <c r="AL78" s="17" t="n">
        <v>18</v>
      </c>
      <c r="AM78" s="17" t="s">
        <v>575</v>
      </c>
      <c r="AN78" s="17" t="n">
        <v>1</v>
      </c>
      <c r="AO78" s="17" t="n">
        <v>1</v>
      </c>
      <c r="AP78" s="17" t="n">
        <v>1979</v>
      </c>
      <c r="AQ78" s="17" t="n">
        <v>1979</v>
      </c>
      <c r="AR78" s="17" t="n">
        <v>0</v>
      </c>
      <c r="AS78" s="17" t="n">
        <v>2024</v>
      </c>
      <c r="AT78" s="17" t="n">
        <v>2022</v>
      </c>
      <c r="AU78" s="17" t="n">
        <v>2003</v>
      </c>
      <c r="AV78" s="17" t="n">
        <v>2025</v>
      </c>
      <c r="AW78" s="19" t="s">
        <v>576</v>
      </c>
      <c r="AX78" s="20"/>
      <c r="AY78" s="20" t="s">
        <v>472</v>
      </c>
      <c r="AZ78" s="20" t="n">
        <v>0</v>
      </c>
      <c r="BA78" s="19" t="s">
        <v>376</v>
      </c>
    </row>
    <row r="79" customFormat="false" ht="15" hidden="false" customHeight="true" outlineLevel="0" collapsed="false">
      <c r="A79" s="17" t="s">
        <v>577</v>
      </c>
      <c r="B79" s="17" t="s">
        <v>577</v>
      </c>
      <c r="C79" s="17" t="n">
        <v>367</v>
      </c>
      <c r="D79" s="17" t="n">
        <v>367</v>
      </c>
      <c r="E79" s="17" t="s">
        <v>394</v>
      </c>
      <c r="F79" s="17" t="n">
        <v>9</v>
      </c>
      <c r="G79" s="17" t="s">
        <v>395</v>
      </c>
      <c r="H79" s="17" t="n">
        <v>2021</v>
      </c>
      <c r="I79" s="17" t="n">
        <v>1886</v>
      </c>
      <c r="J79" s="18" t="n">
        <f aca="false">IFERROR(F79/I79*100,"n/a")</f>
        <v>0.477200424178155</v>
      </c>
      <c r="K79" s="17" t="n">
        <v>7</v>
      </c>
      <c r="L79" s="17" t="n">
        <v>2022</v>
      </c>
      <c r="M79" s="17" t="n">
        <v>1881</v>
      </c>
      <c r="N79" s="18" t="n">
        <f aca="false">IFERROR(K79/M79*100,"n/a")</f>
        <v>0.372142477405635</v>
      </c>
      <c r="O79" s="17" t="n">
        <v>9</v>
      </c>
      <c r="P79" s="17" t="n">
        <v>0</v>
      </c>
      <c r="Q79" s="21" t="s">
        <v>9</v>
      </c>
      <c r="R79" s="17" t="n">
        <v>0</v>
      </c>
      <c r="S79" s="17" t="n">
        <v>0</v>
      </c>
      <c r="T79" s="17" t="n">
        <v>0</v>
      </c>
      <c r="U79" s="17" t="n">
        <v>0</v>
      </c>
      <c r="V79" s="17" t="n">
        <v>0</v>
      </c>
      <c r="W79" s="21" t="s">
        <v>9</v>
      </c>
      <c r="X79" s="21" t="s">
        <v>9</v>
      </c>
      <c r="Y79" s="21" t="s">
        <v>9</v>
      </c>
      <c r="Z79" s="17" t="n">
        <v>0</v>
      </c>
      <c r="AA79" s="17" t="n">
        <v>0</v>
      </c>
      <c r="AB79" s="17" t="n">
        <v>0</v>
      </c>
      <c r="AC79" s="17" t="n">
        <v>0</v>
      </c>
      <c r="AD79" s="17" t="n">
        <v>0</v>
      </c>
      <c r="AE79" s="17" t="n">
        <v>0</v>
      </c>
      <c r="AF79" s="17" t="n">
        <v>0</v>
      </c>
      <c r="AG79" s="17" t="n">
        <v>0</v>
      </c>
      <c r="AH79" s="17" t="n">
        <v>0</v>
      </c>
      <c r="AI79" s="17" t="n">
        <v>0</v>
      </c>
      <c r="AJ79" s="18" t="str">
        <f aca="false">IF(S79=0,"n/a",IFERROR(AE79/S79,"n/a"))</f>
        <v>n/a</v>
      </c>
      <c r="AK79" s="17" t="s">
        <v>382</v>
      </c>
      <c r="AL79" s="17"/>
      <c r="AM79" s="17" t="s">
        <v>578</v>
      </c>
      <c r="AN79" s="17" t="n">
        <v>5</v>
      </c>
      <c r="AO79" s="17" t="n">
        <v>18</v>
      </c>
      <c r="AP79" s="17" t="n">
        <v>2004</v>
      </c>
      <c r="AQ79" s="17" t="n">
        <v>2022</v>
      </c>
      <c r="AR79" s="17" t="n">
        <v>12</v>
      </c>
      <c r="AS79" s="17" t="n">
        <v>2024</v>
      </c>
      <c r="AT79" s="17" t="n">
        <v>2022</v>
      </c>
      <c r="AU79" s="21" t="n">
        <v>2003</v>
      </c>
      <c r="AV79" s="17" t="n">
        <v>2025</v>
      </c>
      <c r="AW79" s="19" t="s">
        <v>579</v>
      </c>
      <c r="AX79" s="20"/>
      <c r="AY79" s="20" t="s">
        <v>385</v>
      </c>
      <c r="AZ79" s="20" t="n">
        <v>0</v>
      </c>
      <c r="BA79" s="19"/>
    </row>
    <row r="80" customFormat="false" ht="15" hidden="false" customHeight="true" outlineLevel="0" collapsed="false">
      <c r="A80" s="17" t="s">
        <v>580</v>
      </c>
      <c r="B80" s="17" t="s">
        <v>580</v>
      </c>
      <c r="C80" s="17" t="n">
        <v>660</v>
      </c>
      <c r="D80" s="17" t="n">
        <v>660</v>
      </c>
      <c r="E80" s="17" t="s">
        <v>371</v>
      </c>
      <c r="F80" s="17" t="n">
        <v>60</v>
      </c>
      <c r="G80" s="17" t="s">
        <v>372</v>
      </c>
      <c r="H80" s="17" t="n">
        <v>2014</v>
      </c>
      <c r="I80" s="17" t="n">
        <v>5603</v>
      </c>
      <c r="J80" s="18" t="n">
        <f aca="false">IFERROR(F80/I80*100,"n/a")</f>
        <v>1.07085489916116</v>
      </c>
      <c r="K80" s="17" t="n">
        <v>60</v>
      </c>
      <c r="L80" s="17" t="n">
        <v>2022</v>
      </c>
      <c r="M80" s="17" t="n">
        <v>5744</v>
      </c>
      <c r="N80" s="18" t="n">
        <f aca="false">IFERROR(K80/M80*100,"n/a")</f>
        <v>1.04456824512535</v>
      </c>
      <c r="O80" s="17" t="n">
        <v>70</v>
      </c>
      <c r="P80" s="17" t="n">
        <v>500</v>
      </c>
      <c r="Q80" s="17" t="n">
        <v>1948</v>
      </c>
      <c r="R80" s="17" t="n">
        <v>3</v>
      </c>
      <c r="S80" s="17" t="n">
        <v>15</v>
      </c>
      <c r="T80" s="17" t="n">
        <v>4</v>
      </c>
      <c r="U80" s="17" t="n">
        <v>11</v>
      </c>
      <c r="V80" s="17" t="n">
        <v>5</v>
      </c>
      <c r="W80" s="17" t="n">
        <v>1948</v>
      </c>
      <c r="X80" s="17" t="n">
        <v>2017</v>
      </c>
      <c r="Y80" s="17" t="n">
        <v>7</v>
      </c>
      <c r="Z80" s="17" t="n">
        <v>2</v>
      </c>
      <c r="AA80" s="17" t="n">
        <v>2</v>
      </c>
      <c r="AB80" s="17" t="n">
        <v>4</v>
      </c>
      <c r="AC80" s="17" t="n">
        <v>9</v>
      </c>
      <c r="AD80" s="17" t="n">
        <v>0</v>
      </c>
      <c r="AE80" s="17" t="n">
        <v>0</v>
      </c>
      <c r="AF80" s="17" t="n">
        <v>13</v>
      </c>
      <c r="AG80" s="17" t="n">
        <v>13</v>
      </c>
      <c r="AH80" s="17" t="n">
        <v>0</v>
      </c>
      <c r="AI80" s="17" t="n">
        <v>2</v>
      </c>
      <c r="AJ80" s="18" t="n">
        <f aca="false">IF(S80=0,"n/a",IFERROR(AE80/S80,"n/a"))</f>
        <v>0</v>
      </c>
      <c r="AK80" s="17" t="s">
        <v>373</v>
      </c>
      <c r="AL80" s="17"/>
      <c r="AM80" s="17" t="s">
        <v>581</v>
      </c>
      <c r="AN80" s="17" t="n">
        <v>0</v>
      </c>
      <c r="AO80" s="17" t="n">
        <v>0</v>
      </c>
      <c r="AP80" s="21" t="s">
        <v>9</v>
      </c>
      <c r="AQ80" s="21" t="s">
        <v>9</v>
      </c>
      <c r="AR80" s="17" t="n">
        <v>0</v>
      </c>
      <c r="AS80" s="17" t="n">
        <v>2024</v>
      </c>
      <c r="AT80" s="17" t="n">
        <v>2022</v>
      </c>
      <c r="AU80" s="17" t="n">
        <v>2003</v>
      </c>
      <c r="AV80" s="17" t="n">
        <v>2025</v>
      </c>
      <c r="AW80" s="19" t="s">
        <v>582</v>
      </c>
      <c r="AX80" s="20"/>
      <c r="AY80" s="20"/>
      <c r="AZ80" s="20" t="n">
        <v>0</v>
      </c>
      <c r="BA80" s="19" t="s">
        <v>376</v>
      </c>
    </row>
    <row r="81" customFormat="false" ht="15" hidden="false" customHeight="true" outlineLevel="0" collapsed="false">
      <c r="A81" s="17" t="s">
        <v>583</v>
      </c>
      <c r="B81" s="17" t="s">
        <v>583</v>
      </c>
      <c r="C81" s="17" t="n">
        <v>570</v>
      </c>
      <c r="D81" s="17" t="n">
        <v>570</v>
      </c>
      <c r="E81" s="17" t="s">
        <v>371</v>
      </c>
      <c r="F81" s="17" t="n">
        <v>2</v>
      </c>
      <c r="G81" s="17" t="s">
        <v>372</v>
      </c>
      <c r="H81" s="17" t="n">
        <v>1998</v>
      </c>
      <c r="I81" s="17" t="n">
        <v>2062</v>
      </c>
      <c r="J81" s="18" t="n">
        <f aca="false">IFERROR(F81/I81*100,"n/a")</f>
        <v>0.0969932104752667</v>
      </c>
      <c r="K81" s="17" t="n">
        <v>2</v>
      </c>
      <c r="L81" s="17" t="n">
        <v>2022</v>
      </c>
      <c r="M81" s="17" t="n">
        <v>2286</v>
      </c>
      <c r="N81" s="18" t="n">
        <f aca="false">IFERROR(K81/M81*100,"n/a")</f>
        <v>0.0874890638670166</v>
      </c>
      <c r="O81" s="17" t="n">
        <v>2</v>
      </c>
      <c r="P81" s="17" t="n">
        <v>0</v>
      </c>
      <c r="Q81" s="21" t="s">
        <v>9</v>
      </c>
      <c r="R81" s="17" t="n">
        <v>1</v>
      </c>
      <c r="S81" s="17" t="n">
        <v>1</v>
      </c>
      <c r="T81" s="17" t="n">
        <v>0</v>
      </c>
      <c r="U81" s="17" t="n">
        <v>1</v>
      </c>
      <c r="V81" s="17" t="n">
        <v>1</v>
      </c>
      <c r="W81" s="17" t="n">
        <v>1998</v>
      </c>
      <c r="X81" s="17" t="n">
        <v>1998</v>
      </c>
      <c r="Y81" s="17" t="n">
        <v>26</v>
      </c>
      <c r="Z81" s="17" t="n">
        <v>0</v>
      </c>
      <c r="AA81" s="17" t="n">
        <v>0</v>
      </c>
      <c r="AB81" s="17" t="n">
        <v>1</v>
      </c>
      <c r="AC81" s="17" t="n">
        <v>0</v>
      </c>
      <c r="AD81" s="17" t="n">
        <v>0</v>
      </c>
      <c r="AE81" s="17" t="n">
        <v>0</v>
      </c>
      <c r="AF81" s="17" t="n">
        <v>1</v>
      </c>
      <c r="AG81" s="17" t="n">
        <v>1</v>
      </c>
      <c r="AH81" s="17" t="n">
        <v>0</v>
      </c>
      <c r="AI81" s="17" t="n">
        <v>0</v>
      </c>
      <c r="AJ81" s="18" t="n">
        <f aca="false">IF(S81=0,"n/a",IFERROR(AE81/S81,"n/a"))</f>
        <v>0</v>
      </c>
      <c r="AK81" s="17" t="s">
        <v>373</v>
      </c>
      <c r="AL81" s="17"/>
      <c r="AM81" s="17" t="s">
        <v>441</v>
      </c>
      <c r="AN81" s="17" t="n">
        <v>1</v>
      </c>
      <c r="AO81" s="17" t="n">
        <v>4</v>
      </c>
      <c r="AP81" s="17" t="n">
        <v>2021</v>
      </c>
      <c r="AQ81" s="17" t="n">
        <v>2024</v>
      </c>
      <c r="AR81" s="17" t="n">
        <v>0</v>
      </c>
      <c r="AS81" s="17" t="n">
        <v>2024</v>
      </c>
      <c r="AT81" s="17" t="n">
        <v>2022</v>
      </c>
      <c r="AU81" s="21" t="n">
        <v>2003</v>
      </c>
      <c r="AV81" s="17" t="n">
        <v>2025</v>
      </c>
      <c r="AW81" s="19" t="s">
        <v>584</v>
      </c>
      <c r="AX81" s="20"/>
      <c r="AY81" s="20"/>
      <c r="AZ81" s="20" t="n">
        <v>0</v>
      </c>
      <c r="BA81" s="19" t="s">
        <v>389</v>
      </c>
    </row>
    <row r="82" customFormat="false" ht="15" hidden="false" customHeight="true" outlineLevel="0" collapsed="false">
      <c r="A82" s="17" t="s">
        <v>585</v>
      </c>
      <c r="B82" s="17" t="s">
        <v>585</v>
      </c>
      <c r="C82" s="17" t="n">
        <v>450</v>
      </c>
      <c r="D82" s="17" t="n">
        <v>450</v>
      </c>
      <c r="E82" s="17" t="s">
        <v>371</v>
      </c>
      <c r="F82" s="17" t="n">
        <v>15</v>
      </c>
      <c r="G82" s="17" t="s">
        <v>372</v>
      </c>
      <c r="H82" s="17" t="n">
        <v>2000</v>
      </c>
      <c r="I82" s="17" t="n">
        <v>3154</v>
      </c>
      <c r="J82" s="18" t="n">
        <f aca="false">IFERROR(F82/I82*100,"n/a")</f>
        <v>0.475586556753329</v>
      </c>
      <c r="K82" s="17" t="n">
        <v>2</v>
      </c>
      <c r="L82" s="17" t="n">
        <v>2022</v>
      </c>
      <c r="M82" s="17" t="n">
        <v>5373</v>
      </c>
      <c r="N82" s="18" t="n">
        <f aca="false">IFERROR(K82/M82*100,"n/a")</f>
        <v>0.0372231528010423</v>
      </c>
      <c r="O82" s="17" t="n">
        <v>2</v>
      </c>
      <c r="P82" s="17" t="n">
        <v>0</v>
      </c>
      <c r="Q82" s="21" t="s">
        <v>9</v>
      </c>
      <c r="R82" s="17" t="n">
        <v>1</v>
      </c>
      <c r="S82" s="17" t="n">
        <v>7</v>
      </c>
      <c r="T82" s="17" t="n">
        <v>1</v>
      </c>
      <c r="U82" s="17" t="n">
        <v>6</v>
      </c>
      <c r="V82" s="17" t="n">
        <v>4</v>
      </c>
      <c r="W82" s="17" t="n">
        <v>1980</v>
      </c>
      <c r="X82" s="17" t="n">
        <v>2003</v>
      </c>
      <c r="Y82" s="17" t="n">
        <v>21</v>
      </c>
      <c r="Z82" s="17" t="n">
        <v>0</v>
      </c>
      <c r="AA82" s="17" t="n">
        <v>0</v>
      </c>
      <c r="AB82" s="17" t="n">
        <v>0</v>
      </c>
      <c r="AC82" s="17" t="n">
        <v>7</v>
      </c>
      <c r="AD82" s="17" t="n">
        <v>0</v>
      </c>
      <c r="AE82" s="17" t="n">
        <v>0</v>
      </c>
      <c r="AF82" s="17" t="n">
        <v>7</v>
      </c>
      <c r="AG82" s="17" t="n">
        <v>7</v>
      </c>
      <c r="AH82" s="17" t="n">
        <v>0</v>
      </c>
      <c r="AI82" s="17" t="n">
        <v>0</v>
      </c>
      <c r="AJ82" s="18" t="n">
        <f aca="false">IF(S82=0,"n/a",IFERROR(AE82/S82,"n/a"))</f>
        <v>0</v>
      </c>
      <c r="AK82" s="17" t="s">
        <v>373</v>
      </c>
      <c r="AL82" s="17"/>
      <c r="AM82" s="17" t="s">
        <v>415</v>
      </c>
      <c r="AN82" s="17" t="n">
        <v>3</v>
      </c>
      <c r="AO82" s="17" t="n">
        <v>11</v>
      </c>
      <c r="AP82" s="17" t="n">
        <v>2013</v>
      </c>
      <c r="AQ82" s="17" t="n">
        <v>2023</v>
      </c>
      <c r="AR82" s="17" t="n">
        <v>1</v>
      </c>
      <c r="AS82" s="17" t="n">
        <v>2024</v>
      </c>
      <c r="AT82" s="17" t="n">
        <v>2022</v>
      </c>
      <c r="AU82" s="21" t="n">
        <v>2003</v>
      </c>
      <c r="AV82" s="17" t="n">
        <v>2025</v>
      </c>
      <c r="AW82" s="19" t="s">
        <v>586</v>
      </c>
      <c r="AX82" s="20"/>
      <c r="AY82" s="20"/>
      <c r="AZ82" s="20" t="n">
        <v>0</v>
      </c>
      <c r="BA82" s="19" t="s">
        <v>389</v>
      </c>
    </row>
    <row r="83" customFormat="false" ht="15" hidden="false" customHeight="true" outlineLevel="0" collapsed="false">
      <c r="A83" s="17" t="s">
        <v>587</v>
      </c>
      <c r="B83" s="17" t="s">
        <v>587</v>
      </c>
      <c r="C83" s="17" t="n">
        <v>620</v>
      </c>
      <c r="D83" s="17" t="n">
        <v>620</v>
      </c>
      <c r="E83" s="17" t="s">
        <v>371</v>
      </c>
      <c r="F83" s="17" t="n">
        <v>91</v>
      </c>
      <c r="G83" s="17" t="s">
        <v>372</v>
      </c>
      <c r="H83" s="17" t="n">
        <v>1987</v>
      </c>
      <c r="I83" s="17" t="n">
        <v>3666</v>
      </c>
      <c r="J83" s="18" t="n">
        <f aca="false">IFERROR(F83/I83*100,"n/a")</f>
        <v>2.4822695035461</v>
      </c>
      <c r="K83" s="17" t="n">
        <v>7</v>
      </c>
      <c r="L83" s="17" t="n">
        <v>2015</v>
      </c>
      <c r="M83" s="17" t="n">
        <v>6235</v>
      </c>
      <c r="N83" s="18" t="n">
        <f aca="false">IFERROR(K83/M83*100,"n/a")</f>
        <v>0.112269446672013</v>
      </c>
      <c r="O83" s="17"/>
      <c r="P83" s="17" t="n">
        <v>7500</v>
      </c>
      <c r="Q83" s="17" t="n">
        <v>1987</v>
      </c>
      <c r="R83" s="17" t="n">
        <v>3</v>
      </c>
      <c r="S83" s="17" t="n">
        <v>10</v>
      </c>
      <c r="T83" s="17" t="n">
        <v>4</v>
      </c>
      <c r="U83" s="17" t="n">
        <v>7</v>
      </c>
      <c r="V83" s="17" t="n">
        <v>8</v>
      </c>
      <c r="W83" s="17" t="n">
        <v>1987</v>
      </c>
      <c r="X83" s="17" t="n">
        <v>2020</v>
      </c>
      <c r="Y83" s="17" t="n">
        <v>4</v>
      </c>
      <c r="Z83" s="17" t="n">
        <v>1</v>
      </c>
      <c r="AA83" s="17" t="n">
        <v>1</v>
      </c>
      <c r="AB83" s="17" t="n">
        <v>6</v>
      </c>
      <c r="AC83" s="17" t="n">
        <v>4</v>
      </c>
      <c r="AD83" s="17" t="n">
        <v>0</v>
      </c>
      <c r="AE83" s="17" t="n">
        <v>0</v>
      </c>
      <c r="AF83" s="17" t="n">
        <v>9</v>
      </c>
      <c r="AG83" s="17" t="n">
        <v>9</v>
      </c>
      <c r="AH83" s="17" t="n">
        <v>0</v>
      </c>
      <c r="AI83" s="17" t="n">
        <v>1</v>
      </c>
      <c r="AJ83" s="18" t="n">
        <f aca="false">IF(S83=0,"n/a",IFERROR(AE83/S83,"n/a"))</f>
        <v>0</v>
      </c>
      <c r="AK83" s="17" t="s">
        <v>373</v>
      </c>
      <c r="AL83" s="17"/>
      <c r="AM83" s="17"/>
      <c r="AN83" s="17" t="n">
        <v>3</v>
      </c>
      <c r="AO83" s="17" t="n">
        <v>8</v>
      </c>
      <c r="AP83" s="17" t="n">
        <v>1979</v>
      </c>
      <c r="AQ83" s="17" t="n">
        <v>2001</v>
      </c>
      <c r="AR83" s="17" t="n">
        <v>2</v>
      </c>
      <c r="AS83" s="17" t="n">
        <v>2024</v>
      </c>
      <c r="AT83" s="17" t="n">
        <v>2015</v>
      </c>
      <c r="AU83" s="17" t="n">
        <v>2003</v>
      </c>
      <c r="AV83" s="17"/>
      <c r="AW83" s="19" t="s">
        <v>588</v>
      </c>
      <c r="AX83" s="20"/>
      <c r="AY83" s="20"/>
      <c r="AZ83" s="20" t="n">
        <v>0</v>
      </c>
      <c r="BA83" s="19" t="s">
        <v>376</v>
      </c>
    </row>
    <row r="84" customFormat="false" ht="15" hidden="false" customHeight="true" outlineLevel="0" collapsed="false">
      <c r="A84" s="17" t="s">
        <v>589</v>
      </c>
      <c r="B84" s="17" t="s">
        <v>589</v>
      </c>
      <c r="C84" s="17" t="n">
        <v>368</v>
      </c>
      <c r="D84" s="17" t="n">
        <v>368</v>
      </c>
      <c r="E84" s="17" t="s">
        <v>394</v>
      </c>
      <c r="F84" s="17" t="n">
        <v>23</v>
      </c>
      <c r="G84" s="17" t="s">
        <v>395</v>
      </c>
      <c r="H84" s="17" t="n">
        <v>2021</v>
      </c>
      <c r="I84" s="17" t="n">
        <v>2794</v>
      </c>
      <c r="J84" s="18" t="n">
        <f aca="false">IFERROR(F84/I84*100,"n/a")</f>
        <v>0.82319255547602</v>
      </c>
      <c r="K84" s="17" t="n">
        <v>23</v>
      </c>
      <c r="L84" s="17" t="n">
        <v>2022</v>
      </c>
      <c r="M84" s="17" t="n">
        <v>2817</v>
      </c>
      <c r="N84" s="18" t="n">
        <f aca="false">IFERROR(K84/M84*100,"n/a")</f>
        <v>0.816471423500178</v>
      </c>
      <c r="O84" s="17" t="n">
        <v>20</v>
      </c>
      <c r="P84" s="17" t="n">
        <v>0</v>
      </c>
      <c r="Q84" s="21" t="s">
        <v>9</v>
      </c>
      <c r="R84" s="17" t="n">
        <v>0</v>
      </c>
      <c r="S84" s="17" t="n">
        <v>0</v>
      </c>
      <c r="T84" s="17" t="n">
        <v>0</v>
      </c>
      <c r="U84" s="17" t="n">
        <v>0</v>
      </c>
      <c r="V84" s="17" t="n">
        <v>0</v>
      </c>
      <c r="W84" s="21" t="s">
        <v>9</v>
      </c>
      <c r="X84" s="21" t="s">
        <v>9</v>
      </c>
      <c r="Y84" s="21" t="s">
        <v>9</v>
      </c>
      <c r="Z84" s="17" t="n">
        <v>0</v>
      </c>
      <c r="AA84" s="17" t="n">
        <v>0</v>
      </c>
      <c r="AB84" s="17" t="n">
        <v>0</v>
      </c>
      <c r="AC84" s="17" t="n">
        <v>0</v>
      </c>
      <c r="AD84" s="17" t="n">
        <v>0</v>
      </c>
      <c r="AE84" s="17" t="n">
        <v>0</v>
      </c>
      <c r="AF84" s="17" t="n">
        <v>0</v>
      </c>
      <c r="AG84" s="17" t="n">
        <v>0</v>
      </c>
      <c r="AH84" s="17" t="n">
        <v>0</v>
      </c>
      <c r="AI84" s="17" t="n">
        <v>0</v>
      </c>
      <c r="AJ84" s="18" t="str">
        <f aca="false">IF(S84=0,"n/a",IFERROR(AE84/S84,"n/a"))</f>
        <v>n/a</v>
      </c>
      <c r="AK84" s="17" t="s">
        <v>382</v>
      </c>
      <c r="AL84" s="17" t="n">
        <v>9</v>
      </c>
      <c r="AM84" s="17" t="s">
        <v>590</v>
      </c>
      <c r="AN84" s="17" t="n">
        <v>5</v>
      </c>
      <c r="AO84" s="17" t="n">
        <v>21</v>
      </c>
      <c r="AP84" s="17" t="n">
        <v>2002</v>
      </c>
      <c r="AQ84" s="17" t="n">
        <v>2023</v>
      </c>
      <c r="AR84" s="17" t="n">
        <v>12</v>
      </c>
      <c r="AS84" s="17" t="n">
        <v>2024</v>
      </c>
      <c r="AT84" s="17" t="n">
        <v>2022</v>
      </c>
      <c r="AU84" s="21" t="n">
        <v>2003</v>
      </c>
      <c r="AV84" s="17" t="n">
        <v>2025</v>
      </c>
      <c r="AW84" s="19" t="s">
        <v>591</v>
      </c>
      <c r="AX84" s="20"/>
      <c r="AY84" s="20"/>
      <c r="AZ84" s="20" t="n">
        <v>0</v>
      </c>
      <c r="BA84" s="19"/>
    </row>
    <row r="85" customFormat="false" ht="15" hidden="false" customHeight="true" outlineLevel="0" collapsed="false">
      <c r="A85" s="17" t="s">
        <v>592</v>
      </c>
      <c r="B85" s="17" t="s">
        <v>592</v>
      </c>
      <c r="C85" s="17" t="n">
        <v>212</v>
      </c>
      <c r="D85" s="17" t="n">
        <v>212</v>
      </c>
      <c r="E85" s="17" t="s">
        <v>394</v>
      </c>
      <c r="F85" s="17" t="n">
        <v>6</v>
      </c>
      <c r="G85" s="17" t="s">
        <v>395</v>
      </c>
      <c r="H85" s="17" t="n">
        <v>1961</v>
      </c>
      <c r="I85" s="17" t="n">
        <v>317</v>
      </c>
      <c r="J85" s="18" t="n">
        <f aca="false">IFERROR(F85/I85*100,"n/a")</f>
        <v>1.89274447949527</v>
      </c>
      <c r="K85" s="17" t="n">
        <v>0</v>
      </c>
      <c r="L85" s="17" t="n">
        <v>2022</v>
      </c>
      <c r="M85" s="17" t="n">
        <v>653</v>
      </c>
      <c r="N85" s="18" t="n">
        <f aca="false">IFERROR(K85/M85*100,"n/a")</f>
        <v>0</v>
      </c>
      <c r="O85" s="17" t="n">
        <v>0.9</v>
      </c>
      <c r="P85" s="17" t="n">
        <v>0</v>
      </c>
      <c r="Q85" s="21" t="s">
        <v>9</v>
      </c>
      <c r="R85" s="17" t="n">
        <v>0</v>
      </c>
      <c r="S85" s="17" t="n">
        <v>0</v>
      </c>
      <c r="T85" s="17" t="n">
        <v>0</v>
      </c>
      <c r="U85" s="17" t="n">
        <v>0</v>
      </c>
      <c r="V85" s="17" t="n">
        <v>0</v>
      </c>
      <c r="W85" s="21" t="s">
        <v>9</v>
      </c>
      <c r="X85" s="21" t="s">
        <v>9</v>
      </c>
      <c r="Y85" s="21" t="s">
        <v>9</v>
      </c>
      <c r="Z85" s="17" t="n">
        <v>0</v>
      </c>
      <c r="AA85" s="17" t="n">
        <v>0</v>
      </c>
      <c r="AB85" s="17" t="n">
        <v>0</v>
      </c>
      <c r="AC85" s="17" t="n">
        <v>0</v>
      </c>
      <c r="AD85" s="17" t="n">
        <v>0</v>
      </c>
      <c r="AE85" s="17" t="n">
        <v>0</v>
      </c>
      <c r="AF85" s="17" t="n">
        <v>0</v>
      </c>
      <c r="AG85" s="17" t="n">
        <v>0</v>
      </c>
      <c r="AH85" s="17" t="n">
        <v>0</v>
      </c>
      <c r="AI85" s="17" t="n">
        <v>0</v>
      </c>
      <c r="AJ85" s="18" t="str">
        <f aca="false">IF(S85=0,"n/a",IFERROR(AE85/S85,"n/a"))</f>
        <v>n/a</v>
      </c>
      <c r="AK85" s="17" t="s">
        <v>373</v>
      </c>
      <c r="AL85" s="17"/>
      <c r="AM85" s="17" t="s">
        <v>378</v>
      </c>
      <c r="AN85" s="17" t="n">
        <v>5</v>
      </c>
      <c r="AO85" s="17" t="n">
        <v>16</v>
      </c>
      <c r="AP85" s="17" t="n">
        <v>1951</v>
      </c>
      <c r="AQ85" s="17" t="n">
        <v>2023</v>
      </c>
      <c r="AR85" s="17" t="n">
        <v>14</v>
      </c>
      <c r="AS85" s="17" t="n">
        <v>2024</v>
      </c>
      <c r="AT85" s="17" t="n">
        <v>2022</v>
      </c>
      <c r="AU85" s="21" t="n">
        <v>2003</v>
      </c>
      <c r="AV85" s="17" t="n">
        <v>2025</v>
      </c>
      <c r="AW85" s="19" t="s">
        <v>593</v>
      </c>
      <c r="AX85" s="20"/>
      <c r="AY85" s="20"/>
      <c r="AZ85" s="20" t="n">
        <v>0</v>
      </c>
      <c r="BA85" s="19"/>
    </row>
    <row r="86" customFormat="false" ht="15" hidden="false" customHeight="true" outlineLevel="0" collapsed="false">
      <c r="A86" s="17" t="s">
        <v>594</v>
      </c>
      <c r="B86" s="17" t="s">
        <v>594</v>
      </c>
      <c r="C86" s="17" t="n">
        <v>343</v>
      </c>
      <c r="D86" s="17" t="n">
        <v>343</v>
      </c>
      <c r="E86" s="17" t="s">
        <v>371</v>
      </c>
      <c r="F86" s="17" t="n">
        <v>16</v>
      </c>
      <c r="G86" s="17" t="s">
        <v>372</v>
      </c>
      <c r="H86" s="17" t="n">
        <v>2001</v>
      </c>
      <c r="I86" s="17" t="n">
        <v>2035</v>
      </c>
      <c r="J86" s="18" t="n">
        <f aca="false">IFERROR(F86/I86*100,"n/a")</f>
        <v>0.786240786240786</v>
      </c>
      <c r="K86" s="17" t="n">
        <v>8</v>
      </c>
      <c r="L86" s="17" t="n">
        <v>2022</v>
      </c>
      <c r="M86" s="17" t="n">
        <v>1840</v>
      </c>
      <c r="N86" s="18" t="n">
        <f aca="false">IFERROR(K86/M86*100,"n/a")</f>
        <v>0.434782608695652</v>
      </c>
      <c r="O86" s="17" t="n">
        <v>6</v>
      </c>
      <c r="P86" s="17" t="n">
        <v>0</v>
      </c>
      <c r="Q86" s="21" t="s">
        <v>9</v>
      </c>
      <c r="R86" s="17" t="n">
        <v>1</v>
      </c>
      <c r="S86" s="17" t="n">
        <v>1</v>
      </c>
      <c r="T86" s="17" t="n">
        <v>0</v>
      </c>
      <c r="U86" s="17" t="n">
        <v>1</v>
      </c>
      <c r="V86" s="17" t="n">
        <v>1</v>
      </c>
      <c r="W86" s="17" t="n">
        <v>2001</v>
      </c>
      <c r="X86" s="17" t="n">
        <v>2001</v>
      </c>
      <c r="Y86" s="17" t="n">
        <v>23</v>
      </c>
      <c r="Z86" s="17" t="n">
        <v>0</v>
      </c>
      <c r="AA86" s="17" t="n">
        <v>0</v>
      </c>
      <c r="AB86" s="17" t="n">
        <v>0</v>
      </c>
      <c r="AC86" s="17" t="n">
        <v>1</v>
      </c>
      <c r="AD86" s="17" t="n">
        <v>0</v>
      </c>
      <c r="AE86" s="17" t="n">
        <v>0</v>
      </c>
      <c r="AF86" s="17" t="n">
        <v>1</v>
      </c>
      <c r="AG86" s="17" t="n">
        <v>1</v>
      </c>
      <c r="AH86" s="17" t="n">
        <v>0</v>
      </c>
      <c r="AI86" s="17" t="n">
        <v>0</v>
      </c>
      <c r="AJ86" s="18" t="n">
        <f aca="false">IF(S86=0,"n/a",IFERROR(AE86/S86,"n/a"))</f>
        <v>0</v>
      </c>
      <c r="AK86" s="17" t="s">
        <v>373</v>
      </c>
      <c r="AL86" s="17"/>
      <c r="AM86" s="17" t="s">
        <v>378</v>
      </c>
      <c r="AN86" s="17" t="n">
        <v>2</v>
      </c>
      <c r="AO86" s="17" t="n">
        <v>11</v>
      </c>
      <c r="AP86" s="17" t="n">
        <v>2004</v>
      </c>
      <c r="AQ86" s="17" t="n">
        <v>2014</v>
      </c>
      <c r="AR86" s="17" t="n">
        <v>11</v>
      </c>
      <c r="AS86" s="17" t="n">
        <v>2024</v>
      </c>
      <c r="AT86" s="17" t="n">
        <v>2022</v>
      </c>
      <c r="AU86" s="21" t="n">
        <v>2003</v>
      </c>
      <c r="AV86" s="17" t="n">
        <v>2025</v>
      </c>
      <c r="AW86" s="19"/>
      <c r="AX86" s="20"/>
      <c r="AY86" s="20"/>
      <c r="AZ86" s="20" t="n">
        <v>0</v>
      </c>
      <c r="BA86" s="19" t="s">
        <v>389</v>
      </c>
    </row>
    <row r="87" customFormat="false" ht="15" hidden="false" customHeight="true" outlineLevel="0" collapsed="false">
      <c r="A87" s="17" t="s">
        <v>595</v>
      </c>
      <c r="B87" s="17" t="s">
        <v>595</v>
      </c>
      <c r="C87" s="17" t="n">
        <v>580</v>
      </c>
      <c r="D87" s="17" t="n">
        <v>580</v>
      </c>
      <c r="E87" s="17" t="s">
        <v>371</v>
      </c>
      <c r="F87" s="17" t="n">
        <v>8</v>
      </c>
      <c r="G87" s="17" t="s">
        <v>372</v>
      </c>
      <c r="H87" s="17" t="n">
        <v>1971</v>
      </c>
      <c r="I87" s="17" t="n">
        <v>7025</v>
      </c>
      <c r="J87" s="18" t="n">
        <f aca="false">IFERROR(F87/I87*100,"n/a")</f>
        <v>0.113879003558719</v>
      </c>
      <c r="K87" s="17" t="n">
        <v>14</v>
      </c>
      <c r="L87" s="17" t="n">
        <v>2022</v>
      </c>
      <c r="M87" s="17" t="n">
        <v>30437</v>
      </c>
      <c r="N87" s="18" t="n">
        <f aca="false">IFERROR(K87/M87*100,"n/a")</f>
        <v>0.0459966488155863</v>
      </c>
      <c r="O87" s="17"/>
      <c r="P87" s="17" t="n">
        <v>0</v>
      </c>
      <c r="Q87" s="21" t="s">
        <v>9</v>
      </c>
      <c r="R87" s="17" t="n">
        <v>1</v>
      </c>
      <c r="S87" s="17" t="n">
        <v>1</v>
      </c>
      <c r="T87" s="17" t="n">
        <v>0</v>
      </c>
      <c r="U87" s="17" t="n">
        <v>1</v>
      </c>
      <c r="V87" s="17" t="n">
        <v>1</v>
      </c>
      <c r="W87" s="17" t="n">
        <v>1971</v>
      </c>
      <c r="X87" s="17" t="n">
        <v>1971</v>
      </c>
      <c r="Y87" s="17" t="n">
        <v>53</v>
      </c>
      <c r="Z87" s="17" t="n">
        <v>0</v>
      </c>
      <c r="AA87" s="17" t="n">
        <v>0</v>
      </c>
      <c r="AB87" s="17" t="n">
        <v>0</v>
      </c>
      <c r="AC87" s="17" t="n">
        <v>1</v>
      </c>
      <c r="AD87" s="17" t="n">
        <v>0</v>
      </c>
      <c r="AE87" s="17" t="n">
        <v>0</v>
      </c>
      <c r="AF87" s="17" t="n">
        <v>1</v>
      </c>
      <c r="AG87" s="17" t="n">
        <v>1</v>
      </c>
      <c r="AH87" s="17" t="n">
        <v>0</v>
      </c>
      <c r="AI87" s="17" t="n">
        <v>0</v>
      </c>
      <c r="AJ87" s="18" t="n">
        <f aca="false">IF(S87=0,"n/a",IFERROR(AE87/S87,"n/a"))</f>
        <v>0</v>
      </c>
      <c r="AK87" s="17" t="s">
        <v>382</v>
      </c>
      <c r="AL87" s="17" t="n">
        <v>18</v>
      </c>
      <c r="AM87" s="17" t="s">
        <v>415</v>
      </c>
      <c r="AN87" s="17" t="n">
        <v>5</v>
      </c>
      <c r="AO87" s="17" t="n">
        <v>7</v>
      </c>
      <c r="AP87" s="17" t="n">
        <v>2014</v>
      </c>
      <c r="AQ87" s="17" t="n">
        <v>2021</v>
      </c>
      <c r="AR87" s="17" t="n">
        <v>0</v>
      </c>
      <c r="AS87" s="17" t="n">
        <v>2024</v>
      </c>
      <c r="AT87" s="17" t="n">
        <v>2022</v>
      </c>
      <c r="AU87" s="21" t="n">
        <v>2003</v>
      </c>
      <c r="AV87" s="17" t="n">
        <v>2025</v>
      </c>
      <c r="AW87" s="19" t="s">
        <v>596</v>
      </c>
      <c r="AX87" s="20"/>
      <c r="AY87" s="20"/>
      <c r="AZ87" s="20" t="n">
        <v>0</v>
      </c>
      <c r="BA87" s="19" t="s">
        <v>389</v>
      </c>
    </row>
    <row r="88" customFormat="false" ht="15" hidden="false" customHeight="true" outlineLevel="0" collapsed="false">
      <c r="A88" s="17" t="s">
        <v>597</v>
      </c>
      <c r="B88" s="17" t="s">
        <v>597</v>
      </c>
      <c r="C88" s="17" t="n">
        <v>553</v>
      </c>
      <c r="D88" s="17" t="n">
        <v>553</v>
      </c>
      <c r="E88" s="17" t="s">
        <v>394</v>
      </c>
      <c r="F88" s="17" t="n">
        <v>11</v>
      </c>
      <c r="G88" s="17" t="s">
        <v>395</v>
      </c>
      <c r="H88" s="17" t="n">
        <v>2018</v>
      </c>
      <c r="I88" s="17" t="n">
        <v>18528</v>
      </c>
      <c r="J88" s="18" t="n">
        <f aca="false">IFERROR(F88/I88*100,"n/a")</f>
        <v>0.0593696027633852</v>
      </c>
      <c r="K88" s="17" t="n">
        <v>11</v>
      </c>
      <c r="L88" s="17" t="n">
        <v>2022</v>
      </c>
      <c r="M88" s="17" t="n">
        <v>20569</v>
      </c>
      <c r="N88" s="18" t="n">
        <f aca="false">IFERROR(K88/M88*100,"n/a")</f>
        <v>0.0534785356604599</v>
      </c>
      <c r="O88" s="17" t="n">
        <v>10</v>
      </c>
      <c r="P88" s="17" t="n">
        <v>0</v>
      </c>
      <c r="Q88" s="21" t="s">
        <v>9</v>
      </c>
      <c r="R88" s="17" t="n">
        <v>0</v>
      </c>
      <c r="S88" s="17" t="n">
        <v>0</v>
      </c>
      <c r="T88" s="17" t="n">
        <v>0</v>
      </c>
      <c r="U88" s="17" t="n">
        <v>0</v>
      </c>
      <c r="V88" s="17" t="n">
        <v>0</v>
      </c>
      <c r="W88" s="21" t="s">
        <v>9</v>
      </c>
      <c r="X88" s="21" t="s">
        <v>9</v>
      </c>
      <c r="Y88" s="21" t="s">
        <v>9</v>
      </c>
      <c r="Z88" s="17" t="n">
        <v>0</v>
      </c>
      <c r="AA88" s="17" t="n">
        <v>0</v>
      </c>
      <c r="AB88" s="17" t="n">
        <v>0</v>
      </c>
      <c r="AC88" s="17" t="n">
        <v>0</v>
      </c>
      <c r="AD88" s="17" t="n">
        <v>0</v>
      </c>
      <c r="AE88" s="17" t="n">
        <v>0</v>
      </c>
      <c r="AF88" s="17" t="n">
        <v>0</v>
      </c>
      <c r="AG88" s="17" t="n">
        <v>0</v>
      </c>
      <c r="AH88" s="17" t="n">
        <v>0</v>
      </c>
      <c r="AI88" s="17" t="n">
        <v>0</v>
      </c>
      <c r="AJ88" s="18" t="str">
        <f aca="false">IF(S88=0,"n/a",IFERROR(AE88/S88,"n/a"))</f>
        <v>n/a</v>
      </c>
      <c r="AK88" s="17" t="s">
        <v>373</v>
      </c>
      <c r="AL88" s="17"/>
      <c r="AM88" s="17" t="s">
        <v>424</v>
      </c>
      <c r="AN88" s="17" t="n">
        <v>6</v>
      </c>
      <c r="AO88" s="17" t="n">
        <v>10</v>
      </c>
      <c r="AP88" s="17" t="n">
        <v>2013</v>
      </c>
      <c r="AQ88" s="17" t="n">
        <v>2024</v>
      </c>
      <c r="AR88" s="17" t="n">
        <v>2</v>
      </c>
      <c r="AS88" s="17" t="n">
        <v>2024</v>
      </c>
      <c r="AT88" s="17" t="n">
        <v>2022</v>
      </c>
      <c r="AU88" s="21" t="n">
        <v>2003</v>
      </c>
      <c r="AV88" s="17" t="n">
        <v>2025</v>
      </c>
      <c r="AW88" s="19" t="s">
        <v>598</v>
      </c>
      <c r="AX88" s="20"/>
      <c r="AY88" s="20"/>
      <c r="AZ88" s="20" t="n">
        <v>0</v>
      </c>
      <c r="BA88" s="19"/>
    </row>
    <row r="89" customFormat="false" ht="15" hidden="false" customHeight="true" outlineLevel="0" collapsed="false">
      <c r="A89" s="17" t="s">
        <v>599</v>
      </c>
      <c r="B89" s="17" t="s">
        <v>599</v>
      </c>
      <c r="C89" s="17" t="n">
        <v>820</v>
      </c>
      <c r="D89" s="17" t="n">
        <v>820</v>
      </c>
      <c r="E89" s="17" t="s">
        <v>371</v>
      </c>
      <c r="F89" s="17" t="n">
        <v>109</v>
      </c>
      <c r="G89" s="17" t="s">
        <v>372</v>
      </c>
      <c r="H89" s="17" t="n">
        <v>2013</v>
      </c>
      <c r="I89" s="17" t="n">
        <v>29707</v>
      </c>
      <c r="J89" s="18" t="n">
        <f aca="false">IFERROR(F89/I89*100,"n/a")</f>
        <v>0.366916888275491</v>
      </c>
      <c r="K89" s="17" t="n">
        <v>113</v>
      </c>
      <c r="L89" s="17" t="n">
        <v>2022</v>
      </c>
      <c r="M89" s="17" t="n">
        <v>34695</v>
      </c>
      <c r="N89" s="18" t="n">
        <f aca="false">IFERROR(K89/M89*100,"n/a")</f>
        <v>0.325695345150598</v>
      </c>
      <c r="O89" s="17" t="n">
        <v>110</v>
      </c>
      <c r="P89" s="17" t="n">
        <v>0</v>
      </c>
      <c r="Q89" s="21" t="s">
        <v>9</v>
      </c>
      <c r="R89" s="17" t="n">
        <v>4</v>
      </c>
      <c r="S89" s="17" t="n">
        <v>11</v>
      </c>
      <c r="T89" s="17" t="n">
        <v>0</v>
      </c>
      <c r="U89" s="17" t="n">
        <v>11</v>
      </c>
      <c r="V89" s="17" t="n">
        <v>4</v>
      </c>
      <c r="W89" s="17" t="n">
        <v>1958</v>
      </c>
      <c r="X89" s="17" t="n">
        <v>2013</v>
      </c>
      <c r="Y89" s="17" t="n">
        <v>11</v>
      </c>
      <c r="Z89" s="17" t="n">
        <v>4</v>
      </c>
      <c r="AA89" s="17" t="n">
        <v>4</v>
      </c>
      <c r="AB89" s="17" t="n">
        <v>5</v>
      </c>
      <c r="AC89" s="17" t="n">
        <v>6</v>
      </c>
      <c r="AD89" s="17" t="n">
        <v>0</v>
      </c>
      <c r="AE89" s="17" t="n">
        <v>4</v>
      </c>
      <c r="AF89" s="17" t="n">
        <v>11</v>
      </c>
      <c r="AG89" s="17" t="n">
        <v>11</v>
      </c>
      <c r="AH89" s="17" t="n">
        <v>0</v>
      </c>
      <c r="AI89" s="17" t="n">
        <v>0</v>
      </c>
      <c r="AJ89" s="18" t="n">
        <f aca="false">IF(S89=0,"n/a",IFERROR(AE89/S89,"n/a"))</f>
        <v>0.363636363636364</v>
      </c>
      <c r="AK89" s="17" t="s">
        <v>373</v>
      </c>
      <c r="AL89" s="17"/>
      <c r="AM89" s="17" t="s">
        <v>387</v>
      </c>
      <c r="AN89" s="17" t="n">
        <v>2</v>
      </c>
      <c r="AO89" s="17" t="n">
        <v>6</v>
      </c>
      <c r="AP89" s="17" t="n">
        <v>2010</v>
      </c>
      <c r="AQ89" s="17" t="n">
        <v>2017</v>
      </c>
      <c r="AR89" s="17" t="n">
        <v>5</v>
      </c>
      <c r="AS89" s="17" t="n">
        <v>2024</v>
      </c>
      <c r="AT89" s="17" t="n">
        <v>2022</v>
      </c>
      <c r="AU89" s="21" t="n">
        <v>2003</v>
      </c>
      <c r="AV89" s="17" t="n">
        <v>2025</v>
      </c>
      <c r="AW89" s="19" t="s">
        <v>600</v>
      </c>
      <c r="AX89" s="20"/>
      <c r="AY89" s="20"/>
      <c r="AZ89" s="20" t="n">
        <v>0</v>
      </c>
      <c r="BA89" s="19" t="s">
        <v>376</v>
      </c>
    </row>
    <row r="90" customFormat="false" ht="15" hidden="false" customHeight="true" outlineLevel="0" collapsed="false">
      <c r="A90" s="17" t="s">
        <v>601</v>
      </c>
      <c r="B90" s="17" t="s">
        <v>601</v>
      </c>
      <c r="C90" s="17" t="n">
        <v>432</v>
      </c>
      <c r="D90" s="17" t="n">
        <v>432</v>
      </c>
      <c r="E90" s="17" t="s">
        <v>371</v>
      </c>
      <c r="F90" s="17" t="n">
        <v>21</v>
      </c>
      <c r="G90" s="17" t="s">
        <v>372</v>
      </c>
      <c r="H90" s="17" t="n">
        <v>2021</v>
      </c>
      <c r="I90" s="17" t="n">
        <v>22389</v>
      </c>
      <c r="J90" s="18" t="n">
        <f aca="false">IFERROR(F90/I90*100,"n/a")</f>
        <v>0.0937960605654563</v>
      </c>
      <c r="K90" s="17" t="n">
        <v>21</v>
      </c>
      <c r="L90" s="17" t="n">
        <v>2022</v>
      </c>
      <c r="M90" s="17" t="n">
        <v>23073</v>
      </c>
      <c r="N90" s="18" t="n">
        <f aca="false">IFERROR(K90/M90*100,"n/a")</f>
        <v>0.0910154726303472</v>
      </c>
      <c r="O90" s="17" t="n">
        <v>40</v>
      </c>
      <c r="P90" s="17" t="n">
        <v>0</v>
      </c>
      <c r="Q90" s="21" t="s">
        <v>9</v>
      </c>
      <c r="R90" s="17" t="n">
        <v>6</v>
      </c>
      <c r="S90" s="17" t="n">
        <v>20</v>
      </c>
      <c r="T90" s="17" t="n">
        <v>1</v>
      </c>
      <c r="U90" s="17" t="n">
        <v>20</v>
      </c>
      <c r="V90" s="17" t="n">
        <v>13</v>
      </c>
      <c r="W90" s="17" t="n">
        <v>1985</v>
      </c>
      <c r="X90" s="17" t="n">
        <v>2024</v>
      </c>
      <c r="Y90" s="17" t="n">
        <v>0</v>
      </c>
      <c r="Z90" s="17" t="n">
        <v>1</v>
      </c>
      <c r="AA90" s="17" t="n">
        <v>1</v>
      </c>
      <c r="AB90" s="17" t="n">
        <v>12</v>
      </c>
      <c r="AC90" s="17" t="n">
        <v>10</v>
      </c>
      <c r="AD90" s="17" t="n">
        <v>0</v>
      </c>
      <c r="AE90" s="17" t="n">
        <v>1</v>
      </c>
      <c r="AF90" s="17" t="n">
        <v>19</v>
      </c>
      <c r="AG90" s="17" t="n">
        <v>20</v>
      </c>
      <c r="AH90" s="17" t="n">
        <v>0</v>
      </c>
      <c r="AI90" s="17" t="n">
        <v>0</v>
      </c>
      <c r="AJ90" s="18" t="n">
        <f aca="false">IF(S90=0,"n/a",IFERROR(AE90/S90,"n/a"))</f>
        <v>0.05</v>
      </c>
      <c r="AK90" s="17" t="s">
        <v>382</v>
      </c>
      <c r="AL90" s="17"/>
      <c r="AM90" s="17" t="s">
        <v>602</v>
      </c>
      <c r="AN90" s="17" t="n">
        <v>6</v>
      </c>
      <c r="AO90" s="17" t="n">
        <v>12</v>
      </c>
      <c r="AP90" s="17" t="n">
        <v>1999</v>
      </c>
      <c r="AQ90" s="17" t="n">
        <v>2024</v>
      </c>
      <c r="AR90" s="17" t="n">
        <v>2</v>
      </c>
      <c r="AS90" s="17" t="n">
        <v>2024</v>
      </c>
      <c r="AT90" s="17" t="n">
        <v>2022</v>
      </c>
      <c r="AU90" s="21" t="n">
        <v>2003</v>
      </c>
      <c r="AV90" s="17" t="n">
        <v>2025</v>
      </c>
      <c r="AW90" s="19" t="s">
        <v>603</v>
      </c>
      <c r="AX90" s="20"/>
      <c r="AY90" s="20" t="s">
        <v>385</v>
      </c>
      <c r="AZ90" s="20" t="n">
        <v>2</v>
      </c>
      <c r="BA90" s="19" t="s">
        <v>436</v>
      </c>
    </row>
    <row r="91" customFormat="false" ht="15" hidden="false" customHeight="true" outlineLevel="0" collapsed="false">
      <c r="A91" s="17" t="s">
        <v>604</v>
      </c>
      <c r="B91" s="17" t="s">
        <v>604</v>
      </c>
      <c r="C91" s="17" t="n">
        <v>435</v>
      </c>
      <c r="D91" s="17" t="n">
        <v>435</v>
      </c>
      <c r="E91" s="17" t="s">
        <v>371</v>
      </c>
      <c r="F91" s="17" t="n">
        <v>17</v>
      </c>
      <c r="G91" s="17" t="s">
        <v>372</v>
      </c>
      <c r="H91" s="17" t="n">
        <v>1977</v>
      </c>
      <c r="I91" s="17" t="n">
        <v>1439</v>
      </c>
      <c r="J91" s="18" t="n">
        <f aca="false">IFERROR(F91/I91*100,"n/a")</f>
        <v>1.18137595552467</v>
      </c>
      <c r="K91" s="17" t="n">
        <v>16</v>
      </c>
      <c r="L91" s="17" t="n">
        <v>2022</v>
      </c>
      <c r="M91" s="17" t="n">
        <v>4876</v>
      </c>
      <c r="N91" s="18" t="n">
        <f aca="false">IFERROR(K91/M91*100,"n/a")</f>
        <v>0.328137817883511</v>
      </c>
      <c r="O91" s="17" t="n">
        <v>17</v>
      </c>
      <c r="P91" s="17" t="n">
        <v>0</v>
      </c>
      <c r="Q91" s="21" t="s">
        <v>9</v>
      </c>
      <c r="R91" s="17" t="n">
        <v>2</v>
      </c>
      <c r="S91" s="17" t="n">
        <v>5</v>
      </c>
      <c r="T91" s="17" t="n">
        <v>0</v>
      </c>
      <c r="U91" s="17" t="n">
        <v>5</v>
      </c>
      <c r="V91" s="17" t="n">
        <v>4</v>
      </c>
      <c r="W91" s="17" t="n">
        <v>1975</v>
      </c>
      <c r="X91" s="17" t="n">
        <v>2010</v>
      </c>
      <c r="Y91" s="17" t="n">
        <v>14</v>
      </c>
      <c r="Z91" s="17" t="n">
        <v>0</v>
      </c>
      <c r="AA91" s="17" t="n">
        <v>0</v>
      </c>
      <c r="AB91" s="17" t="n">
        <v>1</v>
      </c>
      <c r="AC91" s="17" t="n">
        <v>4</v>
      </c>
      <c r="AD91" s="17" t="n">
        <v>0</v>
      </c>
      <c r="AE91" s="17" t="n">
        <v>0</v>
      </c>
      <c r="AF91" s="17" t="n">
        <v>5</v>
      </c>
      <c r="AG91" s="17" t="n">
        <v>5</v>
      </c>
      <c r="AH91" s="17" t="n">
        <v>0</v>
      </c>
      <c r="AI91" s="17" t="n">
        <v>0</v>
      </c>
      <c r="AJ91" s="18" t="n">
        <f aca="false">IF(S91=0,"n/a",IFERROR(AE91/S91,"n/a"))</f>
        <v>0</v>
      </c>
      <c r="AK91" s="17" t="s">
        <v>382</v>
      </c>
      <c r="AL91" s="17"/>
      <c r="AM91" s="17" t="s">
        <v>605</v>
      </c>
      <c r="AN91" s="17" t="n">
        <v>5</v>
      </c>
      <c r="AO91" s="17" t="n">
        <v>12</v>
      </c>
      <c r="AP91" s="17" t="n">
        <v>2013</v>
      </c>
      <c r="AQ91" s="17" t="n">
        <v>2024</v>
      </c>
      <c r="AR91" s="17" t="n">
        <v>1</v>
      </c>
      <c r="AS91" s="17" t="n">
        <v>2024</v>
      </c>
      <c r="AT91" s="17" t="n">
        <v>2022</v>
      </c>
      <c r="AU91" s="21" t="n">
        <v>2003</v>
      </c>
      <c r="AV91" s="17" t="n">
        <v>2025</v>
      </c>
      <c r="AW91" s="19" t="s">
        <v>606</v>
      </c>
      <c r="AX91" s="20"/>
      <c r="AY91" s="20" t="s">
        <v>385</v>
      </c>
      <c r="AZ91" s="20" t="n">
        <v>0</v>
      </c>
      <c r="BA91" s="19" t="s">
        <v>389</v>
      </c>
    </row>
    <row r="92" customFormat="false" ht="15" hidden="false" customHeight="true" outlineLevel="0" collapsed="false">
      <c r="A92" s="17" t="s">
        <v>607</v>
      </c>
      <c r="B92" s="17" t="s">
        <v>607</v>
      </c>
      <c r="C92" s="17" t="n">
        <v>70</v>
      </c>
      <c r="D92" s="17" t="n">
        <v>70</v>
      </c>
      <c r="E92" s="17" t="s">
        <v>371</v>
      </c>
      <c r="F92" s="17" t="n">
        <v>175</v>
      </c>
      <c r="G92" s="17" t="s">
        <v>372</v>
      </c>
      <c r="H92" s="17" t="n">
        <v>1994</v>
      </c>
      <c r="I92" s="17" t="n">
        <v>89564</v>
      </c>
      <c r="J92" s="18" t="n">
        <f aca="false">IFERROR(F92/I92*100,"n/a")</f>
        <v>0.195391005314635</v>
      </c>
      <c r="K92" s="17" t="n">
        <v>216</v>
      </c>
      <c r="L92" s="17" t="n">
        <v>2022</v>
      </c>
      <c r="M92" s="17" t="n">
        <v>128613</v>
      </c>
      <c r="N92" s="18" t="n">
        <f aca="false">IFERROR(K92/M92*100,"n/a")</f>
        <v>0.16794569755779</v>
      </c>
      <c r="O92" s="17" t="n">
        <v>260</v>
      </c>
      <c r="P92" s="17" t="n">
        <v>0</v>
      </c>
      <c r="Q92" s="21" t="s">
        <v>9</v>
      </c>
      <c r="R92" s="17" t="n">
        <v>1</v>
      </c>
      <c r="S92" s="17" t="n">
        <v>2</v>
      </c>
      <c r="T92" s="17" t="n">
        <v>0</v>
      </c>
      <c r="U92" s="17" t="n">
        <v>2</v>
      </c>
      <c r="V92" s="17" t="n">
        <v>1</v>
      </c>
      <c r="W92" s="17" t="n">
        <v>1994</v>
      </c>
      <c r="X92" s="17" t="n">
        <v>1996</v>
      </c>
      <c r="Y92" s="17" t="n">
        <v>28</v>
      </c>
      <c r="Z92" s="17" t="n">
        <v>0</v>
      </c>
      <c r="AA92" s="17" t="n">
        <v>0</v>
      </c>
      <c r="AB92" s="17" t="n">
        <v>0</v>
      </c>
      <c r="AC92" s="17" t="n">
        <v>2</v>
      </c>
      <c r="AD92" s="17" t="n">
        <v>0</v>
      </c>
      <c r="AE92" s="17" t="n">
        <v>0</v>
      </c>
      <c r="AF92" s="17" t="n">
        <v>2</v>
      </c>
      <c r="AG92" s="17" t="n">
        <v>2</v>
      </c>
      <c r="AH92" s="17" t="n">
        <v>0</v>
      </c>
      <c r="AI92" s="17" t="n">
        <v>0</v>
      </c>
      <c r="AJ92" s="18" t="n">
        <f aca="false">IF(S92=0,"n/a",IFERROR(AE92/S92,"n/a"))</f>
        <v>0</v>
      </c>
      <c r="AK92" s="17" t="s">
        <v>382</v>
      </c>
      <c r="AL92" s="17"/>
      <c r="AM92" s="17" t="s">
        <v>410</v>
      </c>
      <c r="AN92" s="17" t="n">
        <v>3</v>
      </c>
      <c r="AO92" s="17" t="n">
        <v>6</v>
      </c>
      <c r="AP92" s="17" t="n">
        <v>2018</v>
      </c>
      <c r="AQ92" s="17" t="n">
        <v>2023</v>
      </c>
      <c r="AR92" s="17" t="n">
        <v>1</v>
      </c>
      <c r="AS92" s="17" t="n">
        <v>2024</v>
      </c>
      <c r="AT92" s="17" t="n">
        <v>2022</v>
      </c>
      <c r="AU92" s="21" t="n">
        <v>2003</v>
      </c>
      <c r="AV92" s="17" t="n">
        <v>2025</v>
      </c>
      <c r="AW92" s="19" t="s">
        <v>608</v>
      </c>
      <c r="AX92" s="20"/>
      <c r="AY92" s="20" t="s">
        <v>385</v>
      </c>
      <c r="AZ92" s="20" t="n">
        <v>0</v>
      </c>
      <c r="BA92" s="19" t="s">
        <v>389</v>
      </c>
    </row>
    <row r="93" customFormat="false" ht="15" hidden="false" customHeight="true" outlineLevel="0" collapsed="false">
      <c r="A93" s="17" t="s">
        <v>609</v>
      </c>
      <c r="B93" s="17" t="s">
        <v>609</v>
      </c>
      <c r="C93" s="17" t="n">
        <v>359</v>
      </c>
      <c r="D93" s="17" t="n">
        <v>359</v>
      </c>
      <c r="E93" s="17" t="s">
        <v>371</v>
      </c>
      <c r="F93" s="17" t="n">
        <v>9</v>
      </c>
      <c r="G93" s="17" t="s">
        <v>372</v>
      </c>
      <c r="H93" s="17" t="n">
        <v>1992</v>
      </c>
      <c r="I93" s="17" t="n">
        <v>4348</v>
      </c>
      <c r="J93" s="18" t="n">
        <f aca="false">IFERROR(F93/I93*100,"n/a")</f>
        <v>0.206991720331187</v>
      </c>
      <c r="K93" s="17" t="n">
        <v>5</v>
      </c>
      <c r="L93" s="17" t="n">
        <v>2022</v>
      </c>
      <c r="M93" s="17" t="n">
        <v>3040</v>
      </c>
      <c r="N93" s="18" t="n">
        <f aca="false">IFERROR(K93/M93*100,"n/a")</f>
        <v>0.164473684210526</v>
      </c>
      <c r="O93" s="17"/>
      <c r="P93" s="17" t="n">
        <v>0</v>
      </c>
      <c r="Q93" s="21" t="s">
        <v>9</v>
      </c>
      <c r="R93" s="17" t="n">
        <v>1</v>
      </c>
      <c r="S93" s="17" t="n">
        <v>1</v>
      </c>
      <c r="T93" s="17" t="n">
        <v>0</v>
      </c>
      <c r="U93" s="17" t="n">
        <v>1</v>
      </c>
      <c r="V93" s="17" t="n">
        <v>1</v>
      </c>
      <c r="W93" s="17" t="n">
        <v>1992</v>
      </c>
      <c r="X93" s="17" t="n">
        <v>1992</v>
      </c>
      <c r="Y93" s="17" t="n">
        <v>32</v>
      </c>
      <c r="Z93" s="17" t="n">
        <v>0</v>
      </c>
      <c r="AA93" s="17" t="n">
        <v>0</v>
      </c>
      <c r="AB93" s="17" t="n">
        <v>0</v>
      </c>
      <c r="AC93" s="17" t="n">
        <v>1</v>
      </c>
      <c r="AD93" s="17" t="n">
        <v>0</v>
      </c>
      <c r="AE93" s="17" t="n">
        <v>0</v>
      </c>
      <c r="AF93" s="17" t="n">
        <v>1</v>
      </c>
      <c r="AG93" s="17" t="n">
        <v>1</v>
      </c>
      <c r="AH93" s="17" t="n">
        <v>0</v>
      </c>
      <c r="AI93" s="17" t="n">
        <v>0</v>
      </c>
      <c r="AJ93" s="18" t="n">
        <f aca="false">IF(S93=0,"n/a",IFERROR(AE93/S93,"n/a"))</f>
        <v>0</v>
      </c>
      <c r="AK93" s="17" t="s">
        <v>382</v>
      </c>
      <c r="AL93" s="17" t="n">
        <v>12</v>
      </c>
      <c r="AM93" s="17" t="s">
        <v>391</v>
      </c>
      <c r="AN93" s="17" t="n">
        <v>3</v>
      </c>
      <c r="AO93" s="17" t="n">
        <v>8</v>
      </c>
      <c r="AP93" s="17" t="n">
        <v>2004</v>
      </c>
      <c r="AQ93" s="17" t="n">
        <v>2022</v>
      </c>
      <c r="AR93" s="17" t="n">
        <v>5</v>
      </c>
      <c r="AS93" s="17" t="n">
        <v>2024</v>
      </c>
      <c r="AT93" s="17" t="n">
        <v>2022</v>
      </c>
      <c r="AU93" s="21" t="n">
        <v>2003</v>
      </c>
      <c r="AV93" s="17" t="n">
        <v>2025</v>
      </c>
      <c r="AW93" s="19" t="s">
        <v>610</v>
      </c>
      <c r="AX93" s="20"/>
      <c r="AY93" s="20"/>
      <c r="AZ93" s="20" t="n">
        <v>0</v>
      </c>
      <c r="BA93" s="19" t="s">
        <v>389</v>
      </c>
    </row>
    <row r="94" customFormat="false" ht="15" hidden="false" customHeight="true" outlineLevel="0" collapsed="false">
      <c r="A94" s="17" t="s">
        <v>611</v>
      </c>
      <c r="B94" s="17" t="s">
        <v>611</v>
      </c>
      <c r="C94" s="17" t="n">
        <v>712</v>
      </c>
      <c r="D94" s="17" t="n">
        <v>712</v>
      </c>
      <c r="E94" s="17" t="s">
        <v>394</v>
      </c>
      <c r="F94" s="17" t="n">
        <v>47</v>
      </c>
      <c r="G94" s="17" t="s">
        <v>395</v>
      </c>
      <c r="H94" s="17" t="n">
        <v>1974</v>
      </c>
      <c r="I94" s="17" t="n">
        <v>1402</v>
      </c>
      <c r="J94" s="18" t="n">
        <f aca="false">IFERROR(F94/I94*100,"n/a")</f>
        <v>3.35235378031384</v>
      </c>
      <c r="K94" s="17" t="n">
        <v>10</v>
      </c>
      <c r="L94" s="17" t="n">
        <v>2022</v>
      </c>
      <c r="M94" s="17" t="n">
        <v>3386</v>
      </c>
      <c r="N94" s="18" t="n">
        <f aca="false">IFERROR(K94/M94*100,"n/a")</f>
        <v>0.295333727111636</v>
      </c>
      <c r="O94" s="17" t="n">
        <v>20</v>
      </c>
      <c r="P94" s="17" t="n">
        <v>0</v>
      </c>
      <c r="Q94" s="21" t="s">
        <v>9</v>
      </c>
      <c r="R94" s="17" t="n">
        <v>0</v>
      </c>
      <c r="S94" s="17" t="n">
        <v>0</v>
      </c>
      <c r="T94" s="17" t="n">
        <v>0</v>
      </c>
      <c r="U94" s="17" t="n">
        <v>0</v>
      </c>
      <c r="V94" s="17" t="n">
        <v>0</v>
      </c>
      <c r="W94" s="21" t="s">
        <v>9</v>
      </c>
      <c r="X94" s="21" t="s">
        <v>9</v>
      </c>
      <c r="Y94" s="21" t="s">
        <v>9</v>
      </c>
      <c r="Z94" s="17" t="n">
        <v>0</v>
      </c>
      <c r="AA94" s="17" t="n">
        <v>0</v>
      </c>
      <c r="AB94" s="17" t="n">
        <v>0</v>
      </c>
      <c r="AC94" s="17" t="n">
        <v>0</v>
      </c>
      <c r="AD94" s="17" t="n">
        <v>0</v>
      </c>
      <c r="AE94" s="17" t="n">
        <v>0</v>
      </c>
      <c r="AF94" s="17" t="n">
        <v>0</v>
      </c>
      <c r="AG94" s="17" t="n">
        <v>0</v>
      </c>
      <c r="AH94" s="17" t="n">
        <v>0</v>
      </c>
      <c r="AI94" s="17" t="n">
        <v>0</v>
      </c>
      <c r="AJ94" s="18" t="str">
        <f aca="false">IF(S94=0,"n/a",IFERROR(AE94/S94,"n/a"))</f>
        <v>n/a</v>
      </c>
      <c r="AK94" s="17" t="s">
        <v>382</v>
      </c>
      <c r="AL94" s="17" t="n">
        <v>24</v>
      </c>
      <c r="AM94" s="17" t="s">
        <v>415</v>
      </c>
      <c r="AN94" s="17" t="n">
        <v>2</v>
      </c>
      <c r="AO94" s="17" t="n">
        <v>10</v>
      </c>
      <c r="AP94" s="17" t="n">
        <v>2004</v>
      </c>
      <c r="AQ94" s="17" t="n">
        <v>2014</v>
      </c>
      <c r="AR94" s="17" t="n">
        <v>10</v>
      </c>
      <c r="AS94" s="17" t="n">
        <v>2024</v>
      </c>
      <c r="AT94" s="17" t="n">
        <v>2022</v>
      </c>
      <c r="AU94" s="21" t="n">
        <v>2003</v>
      </c>
      <c r="AV94" s="17" t="n">
        <v>2025</v>
      </c>
      <c r="AW94" s="19" t="s">
        <v>612</v>
      </c>
      <c r="AX94" s="20"/>
      <c r="AY94" s="20"/>
      <c r="AZ94" s="20" t="n">
        <v>0</v>
      </c>
      <c r="BA94" s="19"/>
    </row>
    <row r="95" customFormat="false" ht="15" hidden="false" customHeight="true" outlineLevel="0" collapsed="false">
      <c r="A95" s="17" t="s">
        <v>613</v>
      </c>
      <c r="B95" s="17" t="s">
        <v>613</v>
      </c>
      <c r="C95" s="17" t="n">
        <v>341</v>
      </c>
      <c r="D95" s="17" t="n">
        <v>341</v>
      </c>
      <c r="E95" s="17" t="s">
        <v>394</v>
      </c>
      <c r="F95" s="17" t="n">
        <v>6</v>
      </c>
      <c r="G95" s="17" t="s">
        <v>395</v>
      </c>
      <c r="H95" s="17" t="n">
        <v>2008</v>
      </c>
      <c r="I95" s="17" t="n">
        <v>619</v>
      </c>
      <c r="J95" s="18" t="n">
        <f aca="false">IFERROR(F95/I95*100,"n/a")</f>
        <v>0.969305331179322</v>
      </c>
      <c r="K95" s="17" t="n">
        <v>2</v>
      </c>
      <c r="L95" s="17" t="n">
        <v>2022</v>
      </c>
      <c r="M95" s="17" t="n">
        <v>615</v>
      </c>
      <c r="N95" s="18" t="n">
        <f aca="false">IFERROR(K95/M95*100,"n/a")</f>
        <v>0.32520325203252</v>
      </c>
      <c r="O95" s="17" t="n">
        <v>2</v>
      </c>
      <c r="P95" s="17" t="n">
        <v>0</v>
      </c>
      <c r="Q95" s="21" t="s">
        <v>9</v>
      </c>
      <c r="R95" s="17" t="n">
        <v>0</v>
      </c>
      <c r="S95" s="17" t="n">
        <v>0</v>
      </c>
      <c r="T95" s="17" t="n">
        <v>0</v>
      </c>
      <c r="U95" s="17" t="n">
        <v>0</v>
      </c>
      <c r="V95" s="17" t="n">
        <v>0</v>
      </c>
      <c r="W95" s="21" t="s">
        <v>9</v>
      </c>
      <c r="X95" s="21" t="s">
        <v>9</v>
      </c>
      <c r="Y95" s="21" t="s">
        <v>9</v>
      </c>
      <c r="Z95" s="17" t="n">
        <v>0</v>
      </c>
      <c r="AA95" s="17" t="n">
        <v>0</v>
      </c>
      <c r="AB95" s="17" t="n">
        <v>0</v>
      </c>
      <c r="AC95" s="17" t="n">
        <v>0</v>
      </c>
      <c r="AD95" s="17" t="n">
        <v>0</v>
      </c>
      <c r="AE95" s="17" t="n">
        <v>0</v>
      </c>
      <c r="AF95" s="17" t="n">
        <v>0</v>
      </c>
      <c r="AG95" s="17" t="n">
        <v>0</v>
      </c>
      <c r="AH95" s="17" t="n">
        <v>0</v>
      </c>
      <c r="AI95" s="17" t="n">
        <v>0</v>
      </c>
      <c r="AJ95" s="18" t="str">
        <f aca="false">IF(S95=0,"n/a",IFERROR(AE95/S95,"n/a"))</f>
        <v>n/a</v>
      </c>
      <c r="AK95" s="17" t="s">
        <v>373</v>
      </c>
      <c r="AL95" s="17"/>
      <c r="AM95" s="17" t="s">
        <v>378</v>
      </c>
      <c r="AN95" s="17" t="n">
        <v>1</v>
      </c>
      <c r="AO95" s="17" t="n">
        <v>5</v>
      </c>
      <c r="AP95" s="17" t="n">
        <v>2010</v>
      </c>
      <c r="AQ95" s="17" t="n">
        <v>2014</v>
      </c>
      <c r="AR95" s="17" t="n">
        <v>5</v>
      </c>
      <c r="AS95" s="17" t="n">
        <v>2024</v>
      </c>
      <c r="AT95" s="17" t="n">
        <v>2022</v>
      </c>
      <c r="AU95" s="21" t="n">
        <v>2003</v>
      </c>
      <c r="AV95" s="17" t="n">
        <v>2025</v>
      </c>
      <c r="AW95" s="19" t="s">
        <v>614</v>
      </c>
      <c r="AX95" s="20"/>
      <c r="AY95" s="20"/>
      <c r="AZ95" s="20" t="n">
        <v>0</v>
      </c>
      <c r="BA95" s="19"/>
    </row>
    <row r="96" customFormat="false" ht="15" hidden="false" customHeight="true" outlineLevel="0" collapsed="false">
      <c r="A96" s="17" t="s">
        <v>615</v>
      </c>
      <c r="B96" s="17" t="s">
        <v>615</v>
      </c>
      <c r="C96" s="17" t="n">
        <v>600</v>
      </c>
      <c r="D96" s="17" t="n">
        <v>600</v>
      </c>
      <c r="E96" s="17" t="s">
        <v>371</v>
      </c>
      <c r="F96" s="17" t="n">
        <v>200</v>
      </c>
      <c r="G96" s="17" t="s">
        <v>372</v>
      </c>
      <c r="H96" s="17" t="n">
        <v>1987</v>
      </c>
      <c r="I96" s="17" t="n">
        <v>22884</v>
      </c>
      <c r="J96" s="18" t="n">
        <f aca="false">IFERROR(F96/I96*100,"n/a")</f>
        <v>0.873973081629086</v>
      </c>
      <c r="K96" s="17" t="n">
        <v>196</v>
      </c>
      <c r="L96" s="17" t="n">
        <v>2022</v>
      </c>
      <c r="M96" s="17" t="n">
        <v>37329</v>
      </c>
      <c r="N96" s="18" t="n">
        <f aca="false">IFERROR(K96/M96*100,"n/a")</f>
        <v>0.525060944573924</v>
      </c>
      <c r="O96" s="17" t="n">
        <v>220</v>
      </c>
      <c r="P96" s="17" t="n">
        <v>1000</v>
      </c>
      <c r="Q96" s="17" t="n">
        <v>1991</v>
      </c>
      <c r="R96" s="17" t="n">
        <v>3</v>
      </c>
      <c r="S96" s="17" t="n">
        <v>17</v>
      </c>
      <c r="T96" s="17" t="n">
        <v>2</v>
      </c>
      <c r="U96" s="17" t="n">
        <v>15</v>
      </c>
      <c r="V96" s="17" t="n">
        <v>15</v>
      </c>
      <c r="W96" s="17" t="n">
        <v>1963</v>
      </c>
      <c r="X96" s="17" t="n">
        <v>1989</v>
      </c>
      <c r="Y96" s="17" t="n">
        <v>35</v>
      </c>
      <c r="Z96" s="17" t="n">
        <v>1</v>
      </c>
      <c r="AA96" s="17" t="n">
        <v>1</v>
      </c>
      <c r="AB96" s="17" t="n">
        <v>1</v>
      </c>
      <c r="AC96" s="17" t="n">
        <v>15</v>
      </c>
      <c r="AD96" s="17" t="n">
        <v>0</v>
      </c>
      <c r="AE96" s="17" t="n">
        <v>1</v>
      </c>
      <c r="AF96" s="17" t="n">
        <v>16</v>
      </c>
      <c r="AG96" s="17" t="n">
        <v>17</v>
      </c>
      <c r="AH96" s="17" t="n">
        <v>0</v>
      </c>
      <c r="AI96" s="17" t="n">
        <v>0</v>
      </c>
      <c r="AJ96" s="18" t="n">
        <f aca="false">IF(S96=0,"n/a",IFERROR(AE96/S96,"n/a"))</f>
        <v>0.0588235294117647</v>
      </c>
      <c r="AK96" s="17" t="s">
        <v>382</v>
      </c>
      <c r="AL96" s="17"/>
      <c r="AM96" s="17" t="s">
        <v>616</v>
      </c>
      <c r="AN96" s="17" t="n">
        <v>5</v>
      </c>
      <c r="AO96" s="17" t="n">
        <v>13</v>
      </c>
      <c r="AP96" s="17" t="n">
        <v>1977</v>
      </c>
      <c r="AQ96" s="17" t="n">
        <v>2024</v>
      </c>
      <c r="AR96" s="17" t="n">
        <v>5</v>
      </c>
      <c r="AS96" s="17" t="n">
        <v>2024</v>
      </c>
      <c r="AT96" s="17" t="n">
        <v>2022</v>
      </c>
      <c r="AU96" s="17" t="n">
        <v>2003</v>
      </c>
      <c r="AV96" s="17" t="n">
        <v>2025</v>
      </c>
      <c r="AW96" s="19" t="s">
        <v>617</v>
      </c>
      <c r="AX96" s="20"/>
      <c r="AY96" s="20" t="s">
        <v>385</v>
      </c>
      <c r="AZ96" s="20" t="n">
        <v>0</v>
      </c>
      <c r="BA96" s="19" t="s">
        <v>376</v>
      </c>
    </row>
    <row r="97" customFormat="false" ht="15" hidden="false" customHeight="true" outlineLevel="0" collapsed="false">
      <c r="A97" s="17" t="s">
        <v>618</v>
      </c>
      <c r="B97" s="17" t="s">
        <v>618</v>
      </c>
      <c r="C97" s="17" t="n">
        <v>541</v>
      </c>
      <c r="D97" s="17" t="n">
        <v>541</v>
      </c>
      <c r="E97" s="17" t="s">
        <v>371</v>
      </c>
      <c r="F97" s="17" t="n">
        <v>65</v>
      </c>
      <c r="G97" s="17" t="s">
        <v>372</v>
      </c>
      <c r="H97" s="17" t="n">
        <v>1986</v>
      </c>
      <c r="I97" s="17" t="n">
        <v>14161</v>
      </c>
      <c r="J97" s="18" t="n">
        <f aca="false">IFERROR(F97/I97*100,"n/a")</f>
        <v>0.459007132264671</v>
      </c>
      <c r="K97" s="17" t="n">
        <v>11</v>
      </c>
      <c r="L97" s="17" t="n">
        <v>2022</v>
      </c>
      <c r="M97" s="17" t="n">
        <v>32656</v>
      </c>
      <c r="N97" s="18" t="n">
        <f aca="false">IFERROR(K97/M97*100,"n/a")</f>
        <v>0.0336844683978442</v>
      </c>
      <c r="O97" s="17" t="n">
        <v>12</v>
      </c>
      <c r="P97" s="17" t="n">
        <v>0</v>
      </c>
      <c r="Q97" s="21" t="s">
        <v>9</v>
      </c>
      <c r="R97" s="17" t="n">
        <v>2</v>
      </c>
      <c r="S97" s="17" t="n">
        <v>26</v>
      </c>
      <c r="T97" s="17" t="n">
        <v>11</v>
      </c>
      <c r="U97" s="17" t="n">
        <v>15</v>
      </c>
      <c r="V97" s="17" t="n">
        <v>16</v>
      </c>
      <c r="W97" s="17" t="n">
        <v>1977</v>
      </c>
      <c r="X97" s="17" t="n">
        <v>2024</v>
      </c>
      <c r="Y97" s="17" t="n">
        <v>0</v>
      </c>
      <c r="Z97" s="17" t="n">
        <v>0</v>
      </c>
      <c r="AA97" s="17" t="n">
        <v>0</v>
      </c>
      <c r="AB97" s="17" t="n">
        <v>10</v>
      </c>
      <c r="AC97" s="17" t="n">
        <v>16</v>
      </c>
      <c r="AD97" s="17" t="n">
        <v>0</v>
      </c>
      <c r="AE97" s="17" t="n">
        <v>0</v>
      </c>
      <c r="AF97" s="17" t="n">
        <v>21</v>
      </c>
      <c r="AG97" s="17" t="n">
        <v>21</v>
      </c>
      <c r="AH97" s="17" t="n">
        <v>0</v>
      </c>
      <c r="AI97" s="17" t="n">
        <v>0</v>
      </c>
      <c r="AJ97" s="18" t="n">
        <f aca="false">IF(S97=0,"n/a",IFERROR(AE97/S97,"n/a"))</f>
        <v>0</v>
      </c>
      <c r="AK97" s="17" t="s">
        <v>382</v>
      </c>
      <c r="AL97" s="17" t="n">
        <v>60</v>
      </c>
      <c r="AM97" s="17" t="s">
        <v>399</v>
      </c>
      <c r="AN97" s="17" t="n">
        <v>0</v>
      </c>
      <c r="AO97" s="17" t="n">
        <v>0</v>
      </c>
      <c r="AP97" s="21" t="s">
        <v>9</v>
      </c>
      <c r="AQ97" s="21" t="s">
        <v>9</v>
      </c>
      <c r="AR97" s="17" t="n">
        <v>0</v>
      </c>
      <c r="AS97" s="17" t="n">
        <v>2024</v>
      </c>
      <c r="AT97" s="17" t="n">
        <v>2022</v>
      </c>
      <c r="AU97" s="21" t="n">
        <v>2003</v>
      </c>
      <c r="AV97" s="17" t="n">
        <v>2025</v>
      </c>
      <c r="AW97" s="19" t="s">
        <v>619</v>
      </c>
      <c r="AX97" s="20"/>
      <c r="AY97" s="20" t="s">
        <v>620</v>
      </c>
      <c r="AZ97" s="20" t="n">
        <v>6</v>
      </c>
      <c r="BA97" s="19" t="s">
        <v>449</v>
      </c>
    </row>
    <row r="98" customFormat="false" ht="15" hidden="false" customHeight="true" outlineLevel="0" collapsed="false">
      <c r="A98" s="17" t="s">
        <v>621</v>
      </c>
      <c r="B98" s="17" t="s">
        <v>621</v>
      </c>
      <c r="C98" s="17" t="n">
        <v>775</v>
      </c>
      <c r="D98" s="17" t="n">
        <v>775</v>
      </c>
      <c r="E98" s="17" t="s">
        <v>371</v>
      </c>
      <c r="F98" s="17" t="n">
        <v>488</v>
      </c>
      <c r="G98" s="17" t="s">
        <v>372</v>
      </c>
      <c r="H98" s="17" t="n">
        <v>2003</v>
      </c>
      <c r="I98" s="17" t="n">
        <v>49577</v>
      </c>
      <c r="J98" s="18" t="n">
        <f aca="false">IFERROR(F98/I98*100,"n/a")</f>
        <v>0.984327409887649</v>
      </c>
      <c r="K98" s="17" t="n">
        <v>356</v>
      </c>
      <c r="L98" s="17" t="n">
        <v>2022</v>
      </c>
      <c r="M98" s="17" t="n">
        <v>53757</v>
      </c>
      <c r="N98" s="18" t="n">
        <f aca="false">IFERROR(K98/M98*100,"n/a")</f>
        <v>0.662239336272485</v>
      </c>
      <c r="O98" s="17" t="n">
        <v>150</v>
      </c>
      <c r="P98" s="17" t="n">
        <v>0</v>
      </c>
      <c r="Q98" s="21" t="s">
        <v>9</v>
      </c>
      <c r="R98" s="17" t="n">
        <v>12</v>
      </c>
      <c r="S98" s="17" t="n">
        <v>77</v>
      </c>
      <c r="T98" s="17" t="n">
        <v>37</v>
      </c>
      <c r="U98" s="17" t="n">
        <v>77</v>
      </c>
      <c r="V98" s="17" t="n">
        <v>77</v>
      </c>
      <c r="W98" s="17" t="n">
        <v>1948</v>
      </c>
      <c r="X98" s="17" t="n">
        <v>2024</v>
      </c>
      <c r="Y98" s="17" t="n">
        <v>0</v>
      </c>
      <c r="Z98" s="17" t="n">
        <v>1</v>
      </c>
      <c r="AA98" s="17" t="n">
        <v>1</v>
      </c>
      <c r="AB98" s="17" t="n">
        <v>0</v>
      </c>
      <c r="AC98" s="17" t="n">
        <v>77</v>
      </c>
      <c r="AD98" s="17" t="n">
        <v>0</v>
      </c>
      <c r="AE98" s="17" t="n">
        <v>1</v>
      </c>
      <c r="AF98" s="17" t="n">
        <v>77</v>
      </c>
      <c r="AG98" s="17" t="n">
        <v>77</v>
      </c>
      <c r="AH98" s="17" t="n">
        <v>0</v>
      </c>
      <c r="AI98" s="17" t="n">
        <v>0</v>
      </c>
      <c r="AJ98" s="18" t="n">
        <f aca="false">IF(S98=0,"n/a",IFERROR(AE98/S98,"n/a"))</f>
        <v>0.012987012987013</v>
      </c>
      <c r="AK98" s="17" t="s">
        <v>382</v>
      </c>
      <c r="AL98" s="17" t="n">
        <v>24</v>
      </c>
      <c r="AM98" s="17" t="s">
        <v>622</v>
      </c>
      <c r="AN98" s="17" t="n">
        <v>0</v>
      </c>
      <c r="AO98" s="17" t="n">
        <v>0</v>
      </c>
      <c r="AP98" s="21" t="s">
        <v>9</v>
      </c>
      <c r="AQ98" s="21" t="s">
        <v>9</v>
      </c>
      <c r="AR98" s="17" t="n">
        <v>0</v>
      </c>
      <c r="AS98" s="17" t="n">
        <v>2024</v>
      </c>
      <c r="AT98" s="17" t="n">
        <v>2022</v>
      </c>
      <c r="AU98" s="21" t="n">
        <v>2003</v>
      </c>
      <c r="AV98" s="17" t="n">
        <v>2025</v>
      </c>
      <c r="AW98" s="19"/>
      <c r="AX98" s="20"/>
      <c r="AY98" s="20"/>
      <c r="AZ98" s="20" t="n">
        <v>0</v>
      </c>
      <c r="BA98" s="19" t="s">
        <v>376</v>
      </c>
    </row>
    <row r="99" customFormat="false" ht="15" hidden="false" customHeight="true" outlineLevel="0" collapsed="false">
      <c r="A99" s="17" t="s">
        <v>623</v>
      </c>
      <c r="B99" s="17" t="s">
        <v>623</v>
      </c>
      <c r="C99" s="17" t="n">
        <v>565</v>
      </c>
      <c r="D99" s="17" t="n">
        <v>565</v>
      </c>
      <c r="E99" s="17" t="s">
        <v>394</v>
      </c>
      <c r="F99" s="17" t="n">
        <v>10</v>
      </c>
      <c r="G99" s="17" t="s">
        <v>395</v>
      </c>
      <c r="H99" s="17" t="n">
        <v>1990</v>
      </c>
      <c r="I99" s="17" t="n">
        <v>1352</v>
      </c>
      <c r="J99" s="18" t="n">
        <f aca="false">IFERROR(F99/I99*100,"n/a")</f>
        <v>0.739644970414201</v>
      </c>
      <c r="K99" s="17" t="n">
        <v>10</v>
      </c>
      <c r="L99" s="17" t="n">
        <v>2022</v>
      </c>
      <c r="M99" s="17" t="n">
        <v>2890</v>
      </c>
      <c r="N99" s="18" t="n">
        <f aca="false">IFERROR(K99/M99*100,"n/a")</f>
        <v>0.346020761245675</v>
      </c>
      <c r="O99" s="17" t="n">
        <v>12</v>
      </c>
      <c r="P99" s="17" t="n">
        <v>0</v>
      </c>
      <c r="Q99" s="21" t="s">
        <v>9</v>
      </c>
      <c r="R99" s="17" t="n">
        <v>0</v>
      </c>
      <c r="S99" s="17" t="n">
        <v>0</v>
      </c>
      <c r="T99" s="17" t="n">
        <v>0</v>
      </c>
      <c r="U99" s="17" t="n">
        <v>0</v>
      </c>
      <c r="V99" s="17" t="n">
        <v>0</v>
      </c>
      <c r="W99" s="21" t="s">
        <v>9</v>
      </c>
      <c r="X99" s="21" t="s">
        <v>9</v>
      </c>
      <c r="Y99" s="21" t="s">
        <v>9</v>
      </c>
      <c r="Z99" s="17" t="n">
        <v>0</v>
      </c>
      <c r="AA99" s="17" t="n">
        <v>0</v>
      </c>
      <c r="AB99" s="17" t="n">
        <v>0</v>
      </c>
      <c r="AC99" s="17" t="n">
        <v>0</v>
      </c>
      <c r="AD99" s="17" t="n">
        <v>0</v>
      </c>
      <c r="AE99" s="17" t="n">
        <v>0</v>
      </c>
      <c r="AF99" s="17" t="n">
        <v>0</v>
      </c>
      <c r="AG99" s="17" t="n">
        <v>0</v>
      </c>
      <c r="AH99" s="17" t="n">
        <v>0</v>
      </c>
      <c r="AI99" s="17" t="n">
        <v>0</v>
      </c>
      <c r="AJ99" s="18" t="str">
        <f aca="false">IF(S99=0,"n/a",IFERROR(AE99/S99,"n/a"))</f>
        <v>n/a</v>
      </c>
      <c r="AK99" s="17" t="s">
        <v>373</v>
      </c>
      <c r="AL99" s="17"/>
      <c r="AM99" s="17" t="s">
        <v>624</v>
      </c>
      <c r="AN99" s="17" t="n">
        <v>2</v>
      </c>
      <c r="AO99" s="17" t="n">
        <v>5</v>
      </c>
      <c r="AP99" s="17" t="n">
        <v>1998</v>
      </c>
      <c r="AQ99" s="17" t="n">
        <v>2002</v>
      </c>
      <c r="AR99" s="17" t="n">
        <v>4</v>
      </c>
      <c r="AS99" s="17" t="n">
        <v>2024</v>
      </c>
      <c r="AT99" s="17" t="n">
        <v>2022</v>
      </c>
      <c r="AU99" s="21" t="n">
        <v>2003</v>
      </c>
      <c r="AV99" s="17" t="n">
        <v>2025</v>
      </c>
      <c r="AW99" s="19" t="s">
        <v>625</v>
      </c>
      <c r="AX99" s="20"/>
      <c r="AY99" s="20"/>
      <c r="AZ99" s="20" t="n">
        <v>0</v>
      </c>
      <c r="BA99" s="19"/>
    </row>
    <row r="100" customFormat="false" ht="15" hidden="false" customHeight="true" outlineLevel="0" collapsed="false">
      <c r="A100" s="17" t="s">
        <v>626</v>
      </c>
      <c r="B100" s="17" t="s">
        <v>626</v>
      </c>
      <c r="C100" s="17" t="n">
        <v>790</v>
      </c>
      <c r="D100" s="17" t="n">
        <v>790</v>
      </c>
      <c r="E100" s="17" t="s">
        <v>371</v>
      </c>
      <c r="F100" s="17" t="n">
        <v>69</v>
      </c>
      <c r="G100" s="17" t="s">
        <v>372</v>
      </c>
      <c r="H100" s="17" t="n">
        <v>2005</v>
      </c>
      <c r="I100" s="17" t="n">
        <v>25292</v>
      </c>
      <c r="J100" s="18" t="n">
        <f aca="false">IFERROR(F100/I100*100,"n/a")</f>
        <v>0.27281353787759</v>
      </c>
      <c r="K100" s="17" t="n">
        <v>97</v>
      </c>
      <c r="L100" s="17" t="n">
        <v>2022</v>
      </c>
      <c r="M100" s="17" t="n">
        <v>29715</v>
      </c>
      <c r="N100" s="18" t="n">
        <f aca="false">IFERROR(K100/M100*100,"n/a")</f>
        <v>0.326434460710079</v>
      </c>
      <c r="O100" s="17" t="n">
        <v>95</v>
      </c>
      <c r="P100" s="17" t="n">
        <v>0</v>
      </c>
      <c r="Q100" s="21" t="s">
        <v>9</v>
      </c>
      <c r="R100" s="17" t="n">
        <v>1</v>
      </c>
      <c r="S100" s="17" t="n">
        <v>14</v>
      </c>
      <c r="T100" s="17" t="n">
        <v>4</v>
      </c>
      <c r="U100" s="17" t="n">
        <v>10</v>
      </c>
      <c r="V100" s="17" t="n">
        <v>11</v>
      </c>
      <c r="W100" s="17" t="n">
        <v>1960</v>
      </c>
      <c r="X100" s="17" t="n">
        <v>2006</v>
      </c>
      <c r="Y100" s="17" t="n">
        <v>18</v>
      </c>
      <c r="Z100" s="17" t="n">
        <v>0</v>
      </c>
      <c r="AA100" s="17" t="n">
        <v>0</v>
      </c>
      <c r="AB100" s="17" t="n">
        <v>0</v>
      </c>
      <c r="AC100" s="17" t="n">
        <v>14</v>
      </c>
      <c r="AD100" s="17" t="n">
        <v>0</v>
      </c>
      <c r="AE100" s="17" t="n">
        <v>0</v>
      </c>
      <c r="AF100" s="17" t="n">
        <v>14</v>
      </c>
      <c r="AG100" s="17" t="n">
        <v>14</v>
      </c>
      <c r="AH100" s="17" t="n">
        <v>0</v>
      </c>
      <c r="AI100" s="17" t="n">
        <v>0</v>
      </c>
      <c r="AJ100" s="18" t="n">
        <f aca="false">IF(S100=0,"n/a",IFERROR(AE100/S100,"n/a"))</f>
        <v>0</v>
      </c>
      <c r="AK100" s="17" t="s">
        <v>373</v>
      </c>
      <c r="AL100" s="17"/>
      <c r="AM100" s="17" t="s">
        <v>387</v>
      </c>
      <c r="AN100" s="17" t="n">
        <v>7</v>
      </c>
      <c r="AO100" s="17" t="n">
        <v>12</v>
      </c>
      <c r="AP100" s="17" t="n">
        <v>2013</v>
      </c>
      <c r="AQ100" s="17" t="n">
        <v>2024</v>
      </c>
      <c r="AR100" s="17" t="n">
        <v>1</v>
      </c>
      <c r="AS100" s="17" t="n">
        <v>2024</v>
      </c>
      <c r="AT100" s="17" t="n">
        <v>2022</v>
      </c>
      <c r="AU100" s="21" t="n">
        <v>2003</v>
      </c>
      <c r="AV100" s="17" t="n">
        <v>2025</v>
      </c>
      <c r="AW100" s="19" t="s">
        <v>627</v>
      </c>
      <c r="AX100" s="20"/>
      <c r="AY100" s="20"/>
      <c r="AZ100" s="20" t="n">
        <v>0</v>
      </c>
      <c r="BA100" s="19" t="s">
        <v>389</v>
      </c>
    </row>
    <row r="101" customFormat="false" ht="15" hidden="false" customHeight="true" outlineLevel="0" collapsed="false">
      <c r="A101" s="17" t="s">
        <v>628</v>
      </c>
      <c r="B101" s="17" t="s">
        <v>628</v>
      </c>
      <c r="C101" s="17" t="n">
        <v>210</v>
      </c>
      <c r="D101" s="17" t="n">
        <v>210</v>
      </c>
      <c r="E101" s="17" t="s">
        <v>371</v>
      </c>
      <c r="F101" s="17" t="n">
        <v>233</v>
      </c>
      <c r="G101" s="17" t="s">
        <v>372</v>
      </c>
      <c r="H101" s="17" t="n">
        <v>1947</v>
      </c>
      <c r="I101" s="17" t="n">
        <v>9630</v>
      </c>
      <c r="J101" s="18" t="n">
        <f aca="false">IFERROR(F101/I101*100,"n/a")</f>
        <v>2.41952232606438</v>
      </c>
      <c r="K101" s="17" t="n">
        <v>34</v>
      </c>
      <c r="L101" s="17" t="n">
        <v>2022</v>
      </c>
      <c r="M101" s="17" t="n">
        <v>17904</v>
      </c>
      <c r="N101" s="18" t="n">
        <f aca="false">IFERROR(K101/M101*100,"n/a")</f>
        <v>0.189901697944593</v>
      </c>
      <c r="O101" s="17" t="n">
        <v>43</v>
      </c>
      <c r="P101" s="17" t="n">
        <v>111</v>
      </c>
      <c r="Q101" s="17" t="n">
        <v>1999</v>
      </c>
      <c r="R101" s="17" t="n">
        <v>2</v>
      </c>
      <c r="S101" s="17" t="n">
        <v>5</v>
      </c>
      <c r="T101" s="17" t="n">
        <v>0</v>
      </c>
      <c r="U101" s="17" t="n">
        <v>5</v>
      </c>
      <c r="V101" s="17" t="n">
        <v>4</v>
      </c>
      <c r="W101" s="17" t="n">
        <v>1946</v>
      </c>
      <c r="X101" s="17" t="n">
        <v>1962</v>
      </c>
      <c r="Y101" s="17" t="n">
        <v>62</v>
      </c>
      <c r="Z101" s="17" t="n">
        <v>1</v>
      </c>
      <c r="AA101" s="17" t="n">
        <v>1</v>
      </c>
      <c r="AB101" s="17" t="n">
        <v>0</v>
      </c>
      <c r="AC101" s="17" t="n">
        <v>0</v>
      </c>
      <c r="AD101" s="17" t="n">
        <v>4</v>
      </c>
      <c r="AE101" s="17" t="n">
        <v>0</v>
      </c>
      <c r="AF101" s="17" t="n">
        <v>0</v>
      </c>
      <c r="AG101" s="17" t="n">
        <v>0</v>
      </c>
      <c r="AH101" s="17" t="n">
        <v>0</v>
      </c>
      <c r="AI101" s="17" t="n">
        <v>5</v>
      </c>
      <c r="AJ101" s="18" t="n">
        <f aca="false">IF(S101=0,"n/a",IFERROR(AE101/S101,"n/a"))</f>
        <v>0</v>
      </c>
      <c r="AK101" s="17" t="s">
        <v>373</v>
      </c>
      <c r="AL101" s="17"/>
      <c r="AM101" s="17" t="s">
        <v>629</v>
      </c>
      <c r="AN101" s="17" t="n">
        <v>10</v>
      </c>
      <c r="AO101" s="17" t="n">
        <v>28</v>
      </c>
      <c r="AP101" s="17" t="n">
        <v>1951</v>
      </c>
      <c r="AQ101" s="17" t="n">
        <v>2024</v>
      </c>
      <c r="AR101" s="17" t="n">
        <v>19</v>
      </c>
      <c r="AS101" s="17" t="n">
        <v>2024</v>
      </c>
      <c r="AT101" s="17" t="n">
        <v>2022</v>
      </c>
      <c r="AU101" s="17" t="n">
        <v>2003</v>
      </c>
      <c r="AV101" s="17" t="n">
        <v>2025</v>
      </c>
      <c r="AW101" s="19" t="s">
        <v>630</v>
      </c>
      <c r="AX101" s="20"/>
      <c r="AY101" s="20"/>
      <c r="AZ101" s="20" t="n">
        <v>0</v>
      </c>
      <c r="BA101" s="19" t="s">
        <v>631</v>
      </c>
    </row>
    <row r="102" customFormat="false" ht="15" hidden="false" customHeight="true" outlineLevel="0" collapsed="false">
      <c r="A102" s="17" t="s">
        <v>632</v>
      </c>
      <c r="B102" s="17" t="s">
        <v>632</v>
      </c>
      <c r="C102" s="17" t="n">
        <v>920</v>
      </c>
      <c r="D102" s="17" t="n">
        <v>920</v>
      </c>
      <c r="E102" s="17" t="s">
        <v>394</v>
      </c>
      <c r="F102" s="17" t="n">
        <v>14</v>
      </c>
      <c r="G102" s="17" t="s">
        <v>395</v>
      </c>
      <c r="H102" s="17" t="n">
        <v>1969</v>
      </c>
      <c r="I102" s="17" t="n">
        <v>2773</v>
      </c>
      <c r="J102" s="18" t="n">
        <f aca="false">IFERROR(F102/I102*100,"n/a")</f>
        <v>0.504868373602597</v>
      </c>
      <c r="K102" s="17" t="n">
        <v>9</v>
      </c>
      <c r="L102" s="17" t="n">
        <v>2022</v>
      </c>
      <c r="M102" s="17" t="n">
        <v>5132</v>
      </c>
      <c r="N102" s="18" t="n">
        <f aca="false">IFERROR(K102/M102*100,"n/a")</f>
        <v>0.175370226032736</v>
      </c>
      <c r="O102" s="17" t="n">
        <v>8.8</v>
      </c>
      <c r="P102" s="17" t="n">
        <v>0</v>
      </c>
      <c r="Q102" s="21" t="s">
        <v>9</v>
      </c>
      <c r="R102" s="17" t="n">
        <v>0</v>
      </c>
      <c r="S102" s="17" t="n">
        <v>0</v>
      </c>
      <c r="T102" s="17" t="n">
        <v>0</v>
      </c>
      <c r="U102" s="17" t="n">
        <v>0</v>
      </c>
      <c r="V102" s="17" t="n">
        <v>0</v>
      </c>
      <c r="W102" s="21" t="s">
        <v>9</v>
      </c>
      <c r="X102" s="21" t="s">
        <v>9</v>
      </c>
      <c r="Y102" s="21" t="s">
        <v>9</v>
      </c>
      <c r="Z102" s="17" t="n">
        <v>0</v>
      </c>
      <c r="AA102" s="17" t="n">
        <v>0</v>
      </c>
      <c r="AB102" s="17" t="n">
        <v>0</v>
      </c>
      <c r="AC102" s="17" t="n">
        <v>0</v>
      </c>
      <c r="AD102" s="17" t="n">
        <v>0</v>
      </c>
      <c r="AE102" s="17" t="n">
        <v>0</v>
      </c>
      <c r="AF102" s="17" t="n">
        <v>0</v>
      </c>
      <c r="AG102" s="17" t="n">
        <v>0</v>
      </c>
      <c r="AH102" s="17" t="n">
        <v>0</v>
      </c>
      <c r="AI102" s="17" t="n">
        <v>0</v>
      </c>
      <c r="AJ102" s="18" t="str">
        <f aca="false">IF(S102=0,"n/a",IFERROR(AE102/S102,"n/a"))</f>
        <v>n/a</v>
      </c>
      <c r="AK102" s="17" t="s">
        <v>373</v>
      </c>
      <c r="AL102" s="17"/>
      <c r="AM102" s="17" t="s">
        <v>421</v>
      </c>
      <c r="AN102" s="17" t="n">
        <v>9</v>
      </c>
      <c r="AO102" s="17" t="n">
        <v>34</v>
      </c>
      <c r="AP102" s="17" t="n">
        <v>1949</v>
      </c>
      <c r="AQ102" s="17" t="n">
        <v>2024</v>
      </c>
      <c r="AR102" s="17" t="n">
        <v>21</v>
      </c>
      <c r="AS102" s="17" t="n">
        <v>2024</v>
      </c>
      <c r="AT102" s="17" t="n">
        <v>2022</v>
      </c>
      <c r="AU102" s="21" t="n">
        <v>2003</v>
      </c>
      <c r="AV102" s="17" t="n">
        <v>2025</v>
      </c>
      <c r="AW102" s="19" t="s">
        <v>633</v>
      </c>
      <c r="AX102" s="20"/>
      <c r="AY102" s="20"/>
      <c r="AZ102" s="20" t="n">
        <v>0</v>
      </c>
      <c r="BA102" s="19"/>
    </row>
    <row r="103" customFormat="false" ht="15" hidden="false" customHeight="true" outlineLevel="0" collapsed="false">
      <c r="A103" s="17" t="s">
        <v>634</v>
      </c>
      <c r="B103" s="17" t="s">
        <v>634</v>
      </c>
      <c r="C103" s="17" t="n">
        <v>93</v>
      </c>
      <c r="D103" s="17" t="n">
        <v>93</v>
      </c>
      <c r="E103" s="17" t="s">
        <v>371</v>
      </c>
      <c r="F103" s="17" t="n">
        <v>80</v>
      </c>
      <c r="G103" s="17" t="s">
        <v>372</v>
      </c>
      <c r="H103" s="17" t="n">
        <v>1987</v>
      </c>
      <c r="I103" s="17" t="n">
        <v>3501</v>
      </c>
      <c r="J103" s="18" t="n">
        <f aca="false">IFERROR(F103/I103*100,"n/a")</f>
        <v>2.28506141102542</v>
      </c>
      <c r="K103" s="17" t="n">
        <v>12</v>
      </c>
      <c r="L103" s="17" t="n">
        <v>2022</v>
      </c>
      <c r="M103" s="17" t="n">
        <v>6731</v>
      </c>
      <c r="N103" s="18" t="n">
        <f aca="false">IFERROR(K103/M103*100,"n/a")</f>
        <v>0.178279601842223</v>
      </c>
      <c r="O103" s="17" t="n">
        <v>12</v>
      </c>
      <c r="P103" s="17" t="n">
        <v>0</v>
      </c>
      <c r="Q103" s="21" t="s">
        <v>9</v>
      </c>
      <c r="R103" s="17" t="n">
        <v>2</v>
      </c>
      <c r="S103" s="17" t="n">
        <v>13</v>
      </c>
      <c r="T103" s="17" t="n">
        <v>8</v>
      </c>
      <c r="U103" s="17" t="n">
        <v>5</v>
      </c>
      <c r="V103" s="17" t="n">
        <v>9</v>
      </c>
      <c r="W103" s="17" t="n">
        <v>1957</v>
      </c>
      <c r="X103" s="17" t="n">
        <v>1990</v>
      </c>
      <c r="Y103" s="17" t="n">
        <v>34</v>
      </c>
      <c r="Z103" s="17" t="n">
        <v>1</v>
      </c>
      <c r="AA103" s="17" t="n">
        <v>1</v>
      </c>
      <c r="AB103" s="17" t="n">
        <v>0</v>
      </c>
      <c r="AC103" s="17" t="n">
        <v>12</v>
      </c>
      <c r="AD103" s="17" t="n">
        <v>0</v>
      </c>
      <c r="AE103" s="17" t="n">
        <v>1</v>
      </c>
      <c r="AF103" s="17" t="n">
        <v>12</v>
      </c>
      <c r="AG103" s="17" t="n">
        <v>13</v>
      </c>
      <c r="AH103" s="17" t="n">
        <v>0</v>
      </c>
      <c r="AI103" s="17" t="n">
        <v>0</v>
      </c>
      <c r="AJ103" s="18" t="n">
        <f aca="false">IF(S103=0,"n/a",IFERROR(AE103/S103,"n/a"))</f>
        <v>0.0769230769230769</v>
      </c>
      <c r="AK103" s="17" t="s">
        <v>373</v>
      </c>
      <c r="AL103" s="17" t="n">
        <v>27</v>
      </c>
      <c r="AM103" s="17" t="s">
        <v>635</v>
      </c>
      <c r="AN103" s="17" t="n">
        <v>1</v>
      </c>
      <c r="AO103" s="17" t="n">
        <v>1</v>
      </c>
      <c r="AP103" s="17" t="n">
        <v>2004</v>
      </c>
      <c r="AQ103" s="17" t="n">
        <v>2004</v>
      </c>
      <c r="AR103" s="17" t="n">
        <v>1</v>
      </c>
      <c r="AS103" s="17" t="n">
        <v>2024</v>
      </c>
      <c r="AT103" s="17" t="n">
        <v>2022</v>
      </c>
      <c r="AU103" s="21" t="n">
        <v>2003</v>
      </c>
      <c r="AV103" s="17" t="n">
        <v>2025</v>
      </c>
      <c r="AW103" s="19" t="s">
        <v>636</v>
      </c>
      <c r="AX103" s="20"/>
      <c r="AY103" s="20" t="s">
        <v>472</v>
      </c>
      <c r="AZ103" s="20" t="n">
        <v>0</v>
      </c>
      <c r="BA103" s="19" t="s">
        <v>376</v>
      </c>
    </row>
    <row r="104" customFormat="false" ht="15" hidden="false" customHeight="true" outlineLevel="0" collapsed="false">
      <c r="A104" s="17" t="s">
        <v>637</v>
      </c>
      <c r="B104" s="17" t="s">
        <v>637</v>
      </c>
      <c r="C104" s="17" t="n">
        <v>436</v>
      </c>
      <c r="D104" s="17" t="n">
        <v>436</v>
      </c>
      <c r="E104" s="17" t="s">
        <v>371</v>
      </c>
      <c r="F104" s="17" t="n">
        <v>33</v>
      </c>
      <c r="G104" s="17" t="s">
        <v>372</v>
      </c>
      <c r="H104" s="17" t="n">
        <v>2022</v>
      </c>
      <c r="I104" s="17" t="n">
        <v>25312</v>
      </c>
      <c r="J104" s="18" t="n">
        <f aca="false">IFERROR(F104/I104*100,"n/a")</f>
        <v>0.130372945638432</v>
      </c>
      <c r="K104" s="17" t="n">
        <v>33</v>
      </c>
      <c r="L104" s="17" t="n">
        <v>2022</v>
      </c>
      <c r="M104" s="17" t="n">
        <v>25312</v>
      </c>
      <c r="N104" s="18" t="n">
        <f aca="false">IFERROR(K104/M104*100,"n/a")</f>
        <v>0.130372945638432</v>
      </c>
      <c r="O104" s="17" t="n">
        <v>50</v>
      </c>
      <c r="P104" s="17" t="n">
        <v>0</v>
      </c>
      <c r="Q104" s="21" t="s">
        <v>9</v>
      </c>
      <c r="R104" s="17" t="n">
        <v>4</v>
      </c>
      <c r="S104" s="17" t="n">
        <v>17</v>
      </c>
      <c r="T104" s="17" t="n">
        <v>0</v>
      </c>
      <c r="U104" s="17" t="n">
        <v>17</v>
      </c>
      <c r="V104" s="17" t="n">
        <v>10</v>
      </c>
      <c r="W104" s="17" t="n">
        <v>1991</v>
      </c>
      <c r="X104" s="17" t="n">
        <v>2024</v>
      </c>
      <c r="Y104" s="17" t="n">
        <v>0</v>
      </c>
      <c r="Z104" s="17" t="n">
        <v>0</v>
      </c>
      <c r="AA104" s="17" t="n">
        <v>0</v>
      </c>
      <c r="AB104" s="17" t="n">
        <v>9</v>
      </c>
      <c r="AC104" s="17" t="n">
        <v>8</v>
      </c>
      <c r="AD104" s="17" t="n">
        <v>0</v>
      </c>
      <c r="AE104" s="17" t="n">
        <v>0</v>
      </c>
      <c r="AF104" s="17" t="n">
        <v>17</v>
      </c>
      <c r="AG104" s="17" t="n">
        <v>17</v>
      </c>
      <c r="AH104" s="17" t="n">
        <v>0</v>
      </c>
      <c r="AI104" s="17" t="n">
        <v>0</v>
      </c>
      <c r="AJ104" s="18" t="n">
        <f aca="false">IF(S104=0,"n/a",IFERROR(AE104/S104,"n/a"))</f>
        <v>0</v>
      </c>
      <c r="AK104" s="17" t="s">
        <v>382</v>
      </c>
      <c r="AL104" s="17" t="n">
        <v>24</v>
      </c>
      <c r="AM104" s="17" t="s">
        <v>490</v>
      </c>
      <c r="AN104" s="17" t="n">
        <v>11</v>
      </c>
      <c r="AO104" s="17" t="n">
        <v>15</v>
      </c>
      <c r="AP104" s="17" t="n">
        <v>1991</v>
      </c>
      <c r="AQ104" s="17" t="n">
        <v>2024</v>
      </c>
      <c r="AR104" s="17" t="n">
        <v>11</v>
      </c>
      <c r="AS104" s="17" t="n">
        <v>2024</v>
      </c>
      <c r="AT104" s="17" t="n">
        <v>2022</v>
      </c>
      <c r="AU104" s="21" t="n">
        <v>2003</v>
      </c>
      <c r="AV104" s="17" t="n">
        <v>2025</v>
      </c>
      <c r="AW104" s="19" t="s">
        <v>638</v>
      </c>
      <c r="AX104" s="20"/>
      <c r="AY104" s="20"/>
      <c r="AZ104" s="20" t="n">
        <v>0</v>
      </c>
      <c r="BA104" s="19" t="s">
        <v>389</v>
      </c>
    </row>
    <row r="105" customFormat="false" ht="15" hidden="false" customHeight="true" outlineLevel="0" collapsed="false">
      <c r="A105" s="17" t="s">
        <v>639</v>
      </c>
      <c r="B105" s="17" t="s">
        <v>639</v>
      </c>
      <c r="C105" s="17" t="n">
        <v>475</v>
      </c>
      <c r="D105" s="17" t="n">
        <v>475</v>
      </c>
      <c r="E105" s="17" t="s">
        <v>371</v>
      </c>
      <c r="F105" s="17" t="n">
        <v>200</v>
      </c>
      <c r="G105" s="17" t="s">
        <v>372</v>
      </c>
      <c r="H105" s="17" t="n">
        <v>1970</v>
      </c>
      <c r="I105" s="17" t="n">
        <v>55070</v>
      </c>
      <c r="J105" s="18" t="n">
        <f aca="false">IFERROR(F105/I105*100,"n/a")</f>
        <v>0.36317414200109</v>
      </c>
      <c r="K105" s="17" t="n">
        <v>143</v>
      </c>
      <c r="L105" s="17" t="n">
        <v>2022</v>
      </c>
      <c r="M105" s="17" t="n">
        <v>223151</v>
      </c>
      <c r="N105" s="18" t="n">
        <f aca="false">IFERROR(K105/M105*100,"n/a")</f>
        <v>0.0640821685764348</v>
      </c>
      <c r="O105" s="17" t="n">
        <v>140</v>
      </c>
      <c r="P105" s="17" t="n">
        <v>0</v>
      </c>
      <c r="Q105" s="21" t="s">
        <v>9</v>
      </c>
      <c r="R105" s="17" t="n">
        <v>7</v>
      </c>
      <c r="S105" s="17" t="n">
        <v>23</v>
      </c>
      <c r="T105" s="17" t="n">
        <v>15</v>
      </c>
      <c r="U105" s="17" t="n">
        <v>16</v>
      </c>
      <c r="V105" s="17" t="n">
        <v>14</v>
      </c>
      <c r="W105" s="17" t="n">
        <v>1966</v>
      </c>
      <c r="X105" s="17" t="n">
        <v>2024</v>
      </c>
      <c r="Y105" s="17" t="n">
        <v>0</v>
      </c>
      <c r="Z105" s="17" t="n">
        <v>2</v>
      </c>
      <c r="AA105" s="17" t="n">
        <v>2</v>
      </c>
      <c r="AB105" s="17" t="n">
        <v>13</v>
      </c>
      <c r="AC105" s="17" t="n">
        <v>11</v>
      </c>
      <c r="AD105" s="17" t="n">
        <v>0</v>
      </c>
      <c r="AE105" s="17" t="n">
        <v>2</v>
      </c>
      <c r="AF105" s="17" t="n">
        <v>21</v>
      </c>
      <c r="AG105" s="17" t="n">
        <v>23</v>
      </c>
      <c r="AH105" s="17" t="n">
        <v>0</v>
      </c>
      <c r="AI105" s="17" t="n">
        <v>0</v>
      </c>
      <c r="AJ105" s="18" t="n">
        <f aca="false">IF(S105=0,"n/a",IFERROR(AE105/S105,"n/a"))</f>
        <v>0.0869565217391304</v>
      </c>
      <c r="AK105" s="17" t="s">
        <v>373</v>
      </c>
      <c r="AL105" s="17"/>
      <c r="AM105" s="17" t="s">
        <v>640</v>
      </c>
      <c r="AN105" s="17" t="n">
        <v>9</v>
      </c>
      <c r="AO105" s="17" t="n">
        <v>22</v>
      </c>
      <c r="AP105" s="17" t="n">
        <v>1991</v>
      </c>
      <c r="AQ105" s="17" t="n">
        <v>2024</v>
      </c>
      <c r="AR105" s="17" t="n">
        <v>15</v>
      </c>
      <c r="AS105" s="17" t="n">
        <v>2024</v>
      </c>
      <c r="AT105" s="17" t="n">
        <v>2022</v>
      </c>
      <c r="AU105" s="21" t="n">
        <v>2003</v>
      </c>
      <c r="AV105" s="17" t="n">
        <v>2025</v>
      </c>
      <c r="AW105" s="19" t="s">
        <v>641</v>
      </c>
      <c r="AX105" s="20"/>
      <c r="AY105" s="20"/>
      <c r="AZ105" s="20" t="n">
        <v>0</v>
      </c>
      <c r="BA105" s="19" t="s">
        <v>376</v>
      </c>
    </row>
    <row r="106" customFormat="false" ht="15" hidden="false" customHeight="true" outlineLevel="0" collapsed="false">
      <c r="A106" s="17" t="s">
        <v>642</v>
      </c>
      <c r="B106" s="17" t="s">
        <v>643</v>
      </c>
      <c r="C106" s="17" t="n">
        <v>731</v>
      </c>
      <c r="D106" s="17" t="n">
        <v>731</v>
      </c>
      <c r="E106" s="17" t="s">
        <v>371</v>
      </c>
      <c r="F106" s="17" t="n">
        <v>260</v>
      </c>
      <c r="G106" s="17" t="s">
        <v>372</v>
      </c>
      <c r="H106" s="17" t="n">
        <v>1953</v>
      </c>
      <c r="I106" s="17" t="n">
        <v>8698</v>
      </c>
      <c r="J106" s="18" t="n">
        <f aca="false">IFERROR(F106/I106*100,"n/a")</f>
        <v>2.98919291791216</v>
      </c>
      <c r="K106" s="17" t="n">
        <v>1280</v>
      </c>
      <c r="L106" s="17" t="n">
        <v>2022</v>
      </c>
      <c r="M106" s="17" t="n">
        <v>26329</v>
      </c>
      <c r="N106" s="18" t="n">
        <f aca="false">IFERROR(K106/M106*100,"n/a")</f>
        <v>4.86155949713244</v>
      </c>
      <c r="O106" s="17" t="n">
        <v>1300</v>
      </c>
      <c r="P106" s="17" t="n">
        <v>316579</v>
      </c>
      <c r="Q106" s="17" t="n">
        <v>1953</v>
      </c>
      <c r="R106" s="17" t="n">
        <v>1</v>
      </c>
      <c r="S106" s="17" t="n">
        <v>5</v>
      </c>
      <c r="T106" s="17" t="n">
        <v>4</v>
      </c>
      <c r="U106" s="17" t="n">
        <v>1</v>
      </c>
      <c r="V106" s="17" t="n">
        <v>5</v>
      </c>
      <c r="W106" s="17" t="n">
        <v>1949</v>
      </c>
      <c r="X106" s="17" t="n">
        <v>1953</v>
      </c>
      <c r="Y106" s="17" t="n">
        <v>71</v>
      </c>
      <c r="Z106" s="17" t="n">
        <v>5</v>
      </c>
      <c r="AA106" s="17" t="n">
        <v>5</v>
      </c>
      <c r="AB106" s="17" t="n">
        <v>0</v>
      </c>
      <c r="AC106" s="17" t="n">
        <v>0</v>
      </c>
      <c r="AD106" s="17" t="n">
        <v>0</v>
      </c>
      <c r="AE106" s="17" t="n">
        <v>5</v>
      </c>
      <c r="AF106" s="17" t="n">
        <v>0</v>
      </c>
      <c r="AG106" s="17" t="n">
        <v>5</v>
      </c>
      <c r="AH106" s="17" t="n">
        <v>0</v>
      </c>
      <c r="AI106" s="17" t="n">
        <v>0</v>
      </c>
      <c r="AJ106" s="18" t="n">
        <f aca="false">IF(S106=0,"n/a",IFERROR(AE106/S106,"n/a"))</f>
        <v>1</v>
      </c>
      <c r="AK106" s="17" t="s">
        <v>382</v>
      </c>
      <c r="AL106" s="17"/>
      <c r="AM106" s="17"/>
      <c r="AN106" s="17" t="n">
        <v>2</v>
      </c>
      <c r="AO106" s="17" t="n">
        <v>12</v>
      </c>
      <c r="AP106" s="17" t="n">
        <v>1965</v>
      </c>
      <c r="AQ106" s="17" t="n">
        <v>2024</v>
      </c>
      <c r="AR106" s="17" t="n">
        <v>12</v>
      </c>
      <c r="AS106" s="17" t="n">
        <v>2024</v>
      </c>
      <c r="AT106" s="17" t="n">
        <v>2022</v>
      </c>
      <c r="AU106" s="17" t="n">
        <v>2003</v>
      </c>
      <c r="AV106" s="17" t="n">
        <v>2025</v>
      </c>
      <c r="AW106" s="19" t="s">
        <v>644</v>
      </c>
      <c r="AX106" s="20"/>
      <c r="AY106" s="20" t="s">
        <v>385</v>
      </c>
      <c r="AZ106" s="20" t="n">
        <v>0</v>
      </c>
      <c r="BA106" s="19" t="s">
        <v>380</v>
      </c>
    </row>
    <row r="107" customFormat="false" ht="15" hidden="false" customHeight="true" outlineLevel="0" collapsed="false">
      <c r="A107" s="17" t="s">
        <v>645</v>
      </c>
      <c r="B107" s="17" t="s">
        <v>645</v>
      </c>
      <c r="C107" s="17" t="n">
        <v>385</v>
      </c>
      <c r="D107" s="17" t="n">
        <v>385</v>
      </c>
      <c r="E107" s="17" t="s">
        <v>394</v>
      </c>
      <c r="F107" s="17" t="n">
        <v>51</v>
      </c>
      <c r="G107" s="17" t="s">
        <v>395</v>
      </c>
      <c r="H107" s="17" t="n">
        <v>1990</v>
      </c>
      <c r="I107" s="17" t="n">
        <v>4241</v>
      </c>
      <c r="J107" s="18" t="n">
        <f aca="false">IFERROR(F107/I107*100,"n/a")</f>
        <v>1.20254656920538</v>
      </c>
      <c r="K107" s="17" t="n">
        <v>25</v>
      </c>
      <c r="L107" s="17" t="n">
        <v>2022</v>
      </c>
      <c r="M107" s="17" t="n">
        <v>5457</v>
      </c>
      <c r="N107" s="18" t="n">
        <f aca="false">IFERROR(K107/M107*100,"n/a")</f>
        <v>0.458127176104087</v>
      </c>
      <c r="O107" s="17" t="n">
        <v>27</v>
      </c>
      <c r="P107" s="17" t="n">
        <v>0</v>
      </c>
      <c r="Q107" s="21" t="s">
        <v>9</v>
      </c>
      <c r="R107" s="17" t="n">
        <v>0</v>
      </c>
      <c r="S107" s="17" t="n">
        <v>0</v>
      </c>
      <c r="T107" s="17" t="n">
        <v>0</v>
      </c>
      <c r="U107" s="17" t="n">
        <v>0</v>
      </c>
      <c r="V107" s="17" t="n">
        <v>0</v>
      </c>
      <c r="W107" s="21" t="s">
        <v>9</v>
      </c>
      <c r="X107" s="21" t="s">
        <v>9</v>
      </c>
      <c r="Y107" s="21" t="s">
        <v>9</v>
      </c>
      <c r="Z107" s="17" t="n">
        <v>0</v>
      </c>
      <c r="AA107" s="17" t="n">
        <v>0</v>
      </c>
      <c r="AB107" s="17" t="n">
        <v>0</v>
      </c>
      <c r="AC107" s="17" t="n">
        <v>0</v>
      </c>
      <c r="AD107" s="17" t="n">
        <v>0</v>
      </c>
      <c r="AE107" s="17" t="n">
        <v>0</v>
      </c>
      <c r="AF107" s="17" t="n">
        <v>0</v>
      </c>
      <c r="AG107" s="17" t="n">
        <v>0</v>
      </c>
      <c r="AH107" s="17" t="n">
        <v>0</v>
      </c>
      <c r="AI107" s="17" t="n">
        <v>0</v>
      </c>
      <c r="AJ107" s="18" t="str">
        <f aca="false">IF(S107=0,"n/a",IFERROR(AE107/S107,"n/a"))</f>
        <v>n/a</v>
      </c>
      <c r="AK107" s="17" t="s">
        <v>382</v>
      </c>
      <c r="AL107" s="17" t="n">
        <v>19</v>
      </c>
      <c r="AM107" s="17" t="s">
        <v>500</v>
      </c>
      <c r="AN107" s="17" t="n">
        <v>9</v>
      </c>
      <c r="AO107" s="17" t="n">
        <v>25</v>
      </c>
      <c r="AP107" s="17" t="n">
        <v>1991</v>
      </c>
      <c r="AQ107" s="17" t="n">
        <v>2024</v>
      </c>
      <c r="AR107" s="17" t="n">
        <v>14</v>
      </c>
      <c r="AS107" s="17" t="n">
        <v>2024</v>
      </c>
      <c r="AT107" s="17" t="n">
        <v>2022</v>
      </c>
      <c r="AU107" s="21" t="n">
        <v>2003</v>
      </c>
      <c r="AV107" s="17" t="n">
        <v>2025</v>
      </c>
      <c r="AW107" s="19" t="s">
        <v>646</v>
      </c>
      <c r="AX107" s="20"/>
      <c r="AY107" s="20"/>
      <c r="AZ107" s="20" t="n">
        <v>0</v>
      </c>
      <c r="BA107" s="19"/>
    </row>
    <row r="108" customFormat="false" ht="15" hidden="false" customHeight="true" outlineLevel="0" collapsed="false">
      <c r="A108" s="17" t="s">
        <v>647</v>
      </c>
      <c r="B108" s="17" t="s">
        <v>647</v>
      </c>
      <c r="C108" s="17" t="n">
        <v>698</v>
      </c>
      <c r="D108" s="17" t="n">
        <v>698</v>
      </c>
      <c r="E108" s="17" t="s">
        <v>371</v>
      </c>
      <c r="F108" s="17" t="n">
        <v>12</v>
      </c>
      <c r="G108" s="17" t="s">
        <v>372</v>
      </c>
      <c r="H108" s="17" t="n">
        <v>1975</v>
      </c>
      <c r="I108" s="17" t="n">
        <v>880</v>
      </c>
      <c r="J108" s="18" t="n">
        <f aca="false">IFERROR(F108/I108*100,"n/a")</f>
        <v>1.36363636363636</v>
      </c>
      <c r="K108" s="17" t="n">
        <v>43</v>
      </c>
      <c r="L108" s="17" t="n">
        <v>2022</v>
      </c>
      <c r="M108" s="17" t="n">
        <v>4730</v>
      </c>
      <c r="N108" s="18" t="n">
        <f aca="false">IFERROR(K108/M108*100,"n/a")</f>
        <v>0.909090909090909</v>
      </c>
      <c r="O108" s="17" t="n">
        <v>40</v>
      </c>
      <c r="P108" s="17" t="n">
        <v>0</v>
      </c>
      <c r="Q108" s="17" t="n">
        <v>1991</v>
      </c>
      <c r="R108" s="17" t="n">
        <v>2</v>
      </c>
      <c r="S108" s="17" t="n">
        <v>8</v>
      </c>
      <c r="T108" s="17" t="n">
        <v>0</v>
      </c>
      <c r="U108" s="17" t="n">
        <v>8</v>
      </c>
      <c r="V108" s="17" t="n">
        <v>7</v>
      </c>
      <c r="W108" s="17" t="n">
        <v>1957</v>
      </c>
      <c r="X108" s="17" t="n">
        <v>1975</v>
      </c>
      <c r="Y108" s="17" t="n">
        <v>49</v>
      </c>
      <c r="Z108" s="17" t="n">
        <v>0</v>
      </c>
      <c r="AA108" s="17" t="n">
        <v>0</v>
      </c>
      <c r="AB108" s="17" t="n">
        <v>8</v>
      </c>
      <c r="AC108" s="17" t="n">
        <v>0</v>
      </c>
      <c r="AD108" s="17" t="n">
        <v>0</v>
      </c>
      <c r="AE108" s="17" t="n">
        <v>0</v>
      </c>
      <c r="AF108" s="17" t="n">
        <v>8</v>
      </c>
      <c r="AG108" s="17" t="n">
        <v>8</v>
      </c>
      <c r="AH108" s="17" t="n">
        <v>0</v>
      </c>
      <c r="AI108" s="17" t="n">
        <v>0</v>
      </c>
      <c r="AJ108" s="18" t="n">
        <f aca="false">IF(S108=0,"n/a",IFERROR(AE108/S108,"n/a"))</f>
        <v>0</v>
      </c>
      <c r="AK108" s="17" t="s">
        <v>373</v>
      </c>
      <c r="AL108" s="17"/>
      <c r="AM108" s="17" t="s">
        <v>648</v>
      </c>
      <c r="AN108" s="17" t="n">
        <v>1</v>
      </c>
      <c r="AO108" s="17" t="n">
        <v>1</v>
      </c>
      <c r="AP108" s="17" t="n">
        <v>1991</v>
      </c>
      <c r="AQ108" s="17" t="n">
        <v>1991</v>
      </c>
      <c r="AR108" s="17" t="n">
        <v>1</v>
      </c>
      <c r="AS108" s="17" t="n">
        <v>2024</v>
      </c>
      <c r="AT108" s="17" t="n">
        <v>2022</v>
      </c>
      <c r="AU108" s="17" t="n">
        <v>2003</v>
      </c>
      <c r="AV108" s="17" t="n">
        <v>2025</v>
      </c>
      <c r="AW108" s="19" t="s">
        <v>649</v>
      </c>
      <c r="AX108" s="20"/>
      <c r="AY108" s="20"/>
      <c r="AZ108" s="20" t="n">
        <v>0</v>
      </c>
      <c r="BA108" s="19" t="s">
        <v>389</v>
      </c>
    </row>
    <row r="109" customFormat="false" ht="15" hidden="false" customHeight="true" outlineLevel="0" collapsed="false">
      <c r="A109" s="17" t="s">
        <v>650</v>
      </c>
      <c r="B109" s="17" t="s">
        <v>650</v>
      </c>
      <c r="C109" s="17" t="n">
        <v>770</v>
      </c>
      <c r="D109" s="17" t="n">
        <v>770</v>
      </c>
      <c r="E109" s="17" t="s">
        <v>371</v>
      </c>
      <c r="F109" s="17" t="n">
        <v>654</v>
      </c>
      <c r="G109" s="17" t="s">
        <v>372</v>
      </c>
      <c r="H109" s="17" t="n">
        <v>2017</v>
      </c>
      <c r="I109" s="17" t="n">
        <v>223274</v>
      </c>
      <c r="J109" s="18" t="n">
        <f aca="false">IFERROR(F109/I109*100,"n/a")</f>
        <v>0.292913639743096</v>
      </c>
      <c r="K109" s="17" t="n">
        <v>652</v>
      </c>
      <c r="L109" s="17" t="n">
        <v>2022</v>
      </c>
      <c r="M109" s="17" t="n">
        <v>243701</v>
      </c>
      <c r="N109" s="18" t="n">
        <f aca="false">IFERROR(K109/M109*100,"n/a")</f>
        <v>0.267540962080582</v>
      </c>
      <c r="O109" s="17" t="n">
        <v>650</v>
      </c>
      <c r="P109" s="17" t="n">
        <v>13480</v>
      </c>
      <c r="Q109" s="17" t="n">
        <v>1999</v>
      </c>
      <c r="R109" s="17" t="n">
        <v>6</v>
      </c>
      <c r="S109" s="17" t="n">
        <v>44</v>
      </c>
      <c r="T109" s="17" t="n">
        <v>13</v>
      </c>
      <c r="U109" s="17" t="n">
        <v>39</v>
      </c>
      <c r="V109" s="17" t="n">
        <v>19</v>
      </c>
      <c r="W109" s="17" t="n">
        <v>1948</v>
      </c>
      <c r="X109" s="17" t="n">
        <v>2024</v>
      </c>
      <c r="Y109" s="17" t="n">
        <v>0</v>
      </c>
      <c r="Z109" s="17" t="n">
        <v>28</v>
      </c>
      <c r="AA109" s="17" t="n">
        <v>28</v>
      </c>
      <c r="AB109" s="17" t="n">
        <v>4</v>
      </c>
      <c r="AC109" s="17" t="n">
        <v>29</v>
      </c>
      <c r="AD109" s="17" t="n">
        <v>0</v>
      </c>
      <c r="AE109" s="17" t="n">
        <v>28</v>
      </c>
      <c r="AF109" s="17" t="n">
        <v>29</v>
      </c>
      <c r="AG109" s="17" t="n">
        <v>44</v>
      </c>
      <c r="AH109" s="17" t="n">
        <v>0</v>
      </c>
      <c r="AI109" s="17" t="n">
        <v>0</v>
      </c>
      <c r="AJ109" s="18" t="n">
        <f aca="false">IF(S109=0,"n/a",IFERROR(AE109/S109,"n/a"))</f>
        <v>0.636363636363636</v>
      </c>
      <c r="AK109" s="17" t="s">
        <v>373</v>
      </c>
      <c r="AL109" s="17"/>
      <c r="AM109" s="17" t="s">
        <v>547</v>
      </c>
      <c r="AN109" s="17" t="n">
        <v>8</v>
      </c>
      <c r="AO109" s="17" t="n">
        <v>24</v>
      </c>
      <c r="AP109" s="17" t="n">
        <v>1991</v>
      </c>
      <c r="AQ109" s="17" t="n">
        <v>2024</v>
      </c>
      <c r="AR109" s="17" t="n">
        <v>16</v>
      </c>
      <c r="AS109" s="17" t="n">
        <v>2024</v>
      </c>
      <c r="AT109" s="17" t="n">
        <v>2022</v>
      </c>
      <c r="AU109" s="17" t="n">
        <v>2003</v>
      </c>
      <c r="AV109" s="17" t="n">
        <v>2025</v>
      </c>
      <c r="AW109" s="19" t="s">
        <v>651</v>
      </c>
      <c r="AX109" s="20"/>
      <c r="AY109" s="20"/>
      <c r="AZ109" s="20" t="n">
        <v>0</v>
      </c>
      <c r="BA109" s="19" t="s">
        <v>376</v>
      </c>
    </row>
    <row r="110" customFormat="false" ht="15" hidden="false" customHeight="true" outlineLevel="0" collapsed="false">
      <c r="A110" s="17" t="s">
        <v>652</v>
      </c>
      <c r="B110" s="17" t="s">
        <v>652</v>
      </c>
      <c r="C110" s="17" t="n">
        <v>95</v>
      </c>
      <c r="D110" s="17" t="n">
        <v>95</v>
      </c>
      <c r="E110" s="17" t="s">
        <v>371</v>
      </c>
      <c r="F110" s="17" t="n">
        <v>14</v>
      </c>
      <c r="G110" s="17" t="s">
        <v>372</v>
      </c>
      <c r="H110" s="17" t="n">
        <v>1989</v>
      </c>
      <c r="I110" s="17" t="n">
        <v>2350</v>
      </c>
      <c r="J110" s="18" t="n">
        <f aca="false">IFERROR(F110/I110*100,"n/a")</f>
        <v>0.595744680851064</v>
      </c>
      <c r="K110" s="17" t="n">
        <v>0</v>
      </c>
      <c r="L110" s="17" t="n">
        <v>2022</v>
      </c>
      <c r="M110" s="17" t="n">
        <v>4401</v>
      </c>
      <c r="N110" s="18" t="n">
        <f aca="false">IFERROR(K110/M110*100,"n/a")</f>
        <v>0</v>
      </c>
      <c r="O110" s="17"/>
      <c r="P110" s="17" t="n">
        <v>0</v>
      </c>
      <c r="Q110" s="21" t="s">
        <v>9</v>
      </c>
      <c r="R110" s="17" t="n">
        <v>2</v>
      </c>
      <c r="S110" s="17" t="n">
        <v>1</v>
      </c>
      <c r="T110" s="17" t="n">
        <v>0</v>
      </c>
      <c r="U110" s="17" t="n">
        <v>1</v>
      </c>
      <c r="V110" s="17" t="n">
        <v>1</v>
      </c>
      <c r="W110" s="17" t="n">
        <v>1989</v>
      </c>
      <c r="X110" s="17" t="n">
        <v>1989</v>
      </c>
      <c r="Y110" s="17" t="n">
        <v>35</v>
      </c>
      <c r="Z110" s="17" t="n">
        <v>1</v>
      </c>
      <c r="AA110" s="17" t="n">
        <v>1</v>
      </c>
      <c r="AB110" s="17" t="n">
        <v>0</v>
      </c>
      <c r="AC110" s="17" t="n">
        <v>1</v>
      </c>
      <c r="AD110" s="17" t="n">
        <v>0</v>
      </c>
      <c r="AE110" s="17" t="n">
        <v>1</v>
      </c>
      <c r="AF110" s="17" t="n">
        <v>1</v>
      </c>
      <c r="AG110" s="17" t="n">
        <v>1</v>
      </c>
      <c r="AH110" s="17" t="n">
        <v>0</v>
      </c>
      <c r="AI110" s="17" t="n">
        <v>0</v>
      </c>
      <c r="AJ110" s="18" t="n">
        <f aca="false">IF(S110=0,"n/a",IFERROR(AE110/S110,"n/a"))</f>
        <v>1</v>
      </c>
      <c r="AK110" s="17"/>
      <c r="AL110" s="17"/>
      <c r="AM110" s="17" t="s">
        <v>428</v>
      </c>
      <c r="AN110" s="17" t="n">
        <v>0</v>
      </c>
      <c r="AO110" s="17" t="n">
        <v>0</v>
      </c>
      <c r="AP110" s="21" t="s">
        <v>9</v>
      </c>
      <c r="AQ110" s="21" t="s">
        <v>9</v>
      </c>
      <c r="AR110" s="17" t="n">
        <v>0</v>
      </c>
      <c r="AS110" s="17" t="n">
        <v>2024</v>
      </c>
      <c r="AT110" s="17" t="n">
        <v>2022</v>
      </c>
      <c r="AU110" s="21" t="n">
        <v>2003</v>
      </c>
      <c r="AV110" s="17" t="n">
        <v>2025</v>
      </c>
      <c r="AW110" s="19"/>
      <c r="AX110" s="20"/>
      <c r="AY110" s="20"/>
      <c r="AZ110" s="20" t="n">
        <v>0</v>
      </c>
      <c r="BA110" s="19" t="s">
        <v>376</v>
      </c>
    </row>
    <row r="111" customFormat="false" ht="15" hidden="false" customHeight="true" outlineLevel="0" collapsed="false">
      <c r="A111" s="17" t="s">
        <v>653</v>
      </c>
      <c r="B111" s="17" t="s">
        <v>653</v>
      </c>
      <c r="C111" s="17" t="n">
        <v>910</v>
      </c>
      <c r="D111" s="17" t="n">
        <v>910</v>
      </c>
      <c r="E111" s="17" t="s">
        <v>371</v>
      </c>
      <c r="F111" s="17" t="n">
        <v>5</v>
      </c>
      <c r="G111" s="17" t="s">
        <v>372</v>
      </c>
      <c r="H111" s="17" t="n">
        <v>1995</v>
      </c>
      <c r="I111" s="17" t="n">
        <v>4074</v>
      </c>
      <c r="J111" s="18" t="n">
        <f aca="false">IFERROR(F111/I111*100,"n/a")</f>
        <v>0.122729504172803</v>
      </c>
      <c r="K111" s="17" t="n">
        <v>4</v>
      </c>
      <c r="L111" s="17" t="n">
        <v>2022</v>
      </c>
      <c r="M111" s="17" t="n">
        <v>10203</v>
      </c>
      <c r="N111" s="18" t="n">
        <f aca="false">IFERROR(K111/M111*100,"n/a")</f>
        <v>0.0392041556404979</v>
      </c>
      <c r="O111" s="17" t="n">
        <v>4</v>
      </c>
      <c r="P111" s="17" t="n">
        <v>0</v>
      </c>
      <c r="Q111" s="21" t="s">
        <v>9</v>
      </c>
      <c r="R111" s="17" t="n">
        <v>1</v>
      </c>
      <c r="S111" s="17" t="n">
        <v>6</v>
      </c>
      <c r="T111" s="17" t="n">
        <v>0</v>
      </c>
      <c r="U111" s="17" t="n">
        <v>6</v>
      </c>
      <c r="V111" s="17" t="n">
        <v>5</v>
      </c>
      <c r="W111" s="17" t="n">
        <v>1990</v>
      </c>
      <c r="X111" s="17" t="n">
        <v>1996</v>
      </c>
      <c r="Y111" s="17" t="n">
        <v>28</v>
      </c>
      <c r="Z111" s="17" t="n">
        <v>0</v>
      </c>
      <c r="AA111" s="17" t="n">
        <v>0</v>
      </c>
      <c r="AB111" s="17" t="n">
        <v>0</v>
      </c>
      <c r="AC111" s="17" t="n">
        <v>6</v>
      </c>
      <c r="AD111" s="17" t="n">
        <v>0</v>
      </c>
      <c r="AE111" s="17" t="n">
        <v>0</v>
      </c>
      <c r="AF111" s="17" t="n">
        <v>6</v>
      </c>
      <c r="AG111" s="17" t="n">
        <v>6</v>
      </c>
      <c r="AH111" s="17" t="n">
        <v>0</v>
      </c>
      <c r="AI111" s="17" t="n">
        <v>0</v>
      </c>
      <c r="AJ111" s="18" t="n">
        <f aca="false">IF(S111=0,"n/a",IFERROR(AE111/S111,"n/a"))</f>
        <v>0</v>
      </c>
      <c r="AK111" s="17" t="s">
        <v>373</v>
      </c>
      <c r="AL111" s="17"/>
      <c r="AM111" s="17" t="s">
        <v>654</v>
      </c>
      <c r="AN111" s="17" t="n">
        <v>0</v>
      </c>
      <c r="AO111" s="17" t="n">
        <v>0</v>
      </c>
      <c r="AP111" s="21" t="s">
        <v>9</v>
      </c>
      <c r="AQ111" s="21" t="s">
        <v>9</v>
      </c>
      <c r="AR111" s="17" t="n">
        <v>0</v>
      </c>
      <c r="AS111" s="17" t="n">
        <v>2024</v>
      </c>
      <c r="AT111" s="17" t="n">
        <v>2022</v>
      </c>
      <c r="AU111" s="21" t="n">
        <v>2003</v>
      </c>
      <c r="AV111" s="17" t="n">
        <v>2025</v>
      </c>
      <c r="AW111" s="19" t="s">
        <v>655</v>
      </c>
      <c r="AX111" s="20"/>
      <c r="AY111" s="20"/>
      <c r="AZ111" s="20" t="n">
        <v>0</v>
      </c>
      <c r="BA111" s="19" t="s">
        <v>389</v>
      </c>
    </row>
    <row r="112" customFormat="false" ht="15" hidden="false" customHeight="true" outlineLevel="0" collapsed="false">
      <c r="A112" s="17" t="s">
        <v>656</v>
      </c>
      <c r="B112" s="17" t="s">
        <v>656</v>
      </c>
      <c r="C112" s="17" t="n">
        <v>150</v>
      </c>
      <c r="D112" s="17" t="n">
        <v>150</v>
      </c>
      <c r="E112" s="17" t="s">
        <v>371</v>
      </c>
      <c r="F112" s="17" t="n">
        <v>16</v>
      </c>
      <c r="G112" s="17" t="s">
        <v>372</v>
      </c>
      <c r="H112" s="17" t="n">
        <v>1989</v>
      </c>
      <c r="I112" s="17" t="n">
        <v>4089</v>
      </c>
      <c r="J112" s="18" t="n">
        <f aca="false">IFERROR(F112/I112*100,"n/a")</f>
        <v>0.391293714844705</v>
      </c>
      <c r="K112" s="17" t="n">
        <v>14</v>
      </c>
      <c r="L112" s="17" t="n">
        <v>2022</v>
      </c>
      <c r="M112" s="17" t="n">
        <v>6760</v>
      </c>
      <c r="N112" s="18" t="n">
        <f aca="false">IFERROR(K112/M112*100,"n/a")</f>
        <v>0.207100591715976</v>
      </c>
      <c r="O112" s="17" t="n">
        <v>15</v>
      </c>
      <c r="P112" s="17" t="n">
        <v>0</v>
      </c>
      <c r="Q112" s="21" t="s">
        <v>9</v>
      </c>
      <c r="R112" s="17" t="n">
        <v>1</v>
      </c>
      <c r="S112" s="17" t="n">
        <v>3</v>
      </c>
      <c r="T112" s="17" t="n">
        <v>1</v>
      </c>
      <c r="U112" s="17" t="n">
        <v>2</v>
      </c>
      <c r="V112" s="17" t="n">
        <v>1</v>
      </c>
      <c r="W112" s="17" t="n">
        <v>1947</v>
      </c>
      <c r="X112" s="17" t="n">
        <v>1989</v>
      </c>
      <c r="Y112" s="17" t="n">
        <v>35</v>
      </c>
      <c r="Z112" s="17" t="n">
        <v>0</v>
      </c>
      <c r="AA112" s="17" t="n">
        <v>0</v>
      </c>
      <c r="AB112" s="17" t="n">
        <v>0</v>
      </c>
      <c r="AC112" s="17" t="n">
        <v>3</v>
      </c>
      <c r="AD112" s="17" t="n">
        <v>0</v>
      </c>
      <c r="AE112" s="17" t="n">
        <v>0</v>
      </c>
      <c r="AF112" s="17" t="n">
        <v>3</v>
      </c>
      <c r="AG112" s="17" t="n">
        <v>3</v>
      </c>
      <c r="AH112" s="17" t="n">
        <v>0</v>
      </c>
      <c r="AI112" s="17" t="n">
        <v>0</v>
      </c>
      <c r="AJ112" s="18" t="n">
        <f aca="false">IF(S112=0,"n/a",IFERROR(AE112/S112,"n/a"))</f>
        <v>0</v>
      </c>
      <c r="AK112" s="17" t="s">
        <v>373</v>
      </c>
      <c r="AL112" s="17"/>
      <c r="AM112" s="17" t="s">
        <v>424</v>
      </c>
      <c r="AN112" s="17" t="n">
        <v>2</v>
      </c>
      <c r="AO112" s="17" t="n">
        <v>3</v>
      </c>
      <c r="AP112" s="17" t="n">
        <v>2014</v>
      </c>
      <c r="AQ112" s="17" t="n">
        <v>2022</v>
      </c>
      <c r="AR112" s="17" t="n">
        <v>0</v>
      </c>
      <c r="AS112" s="17" t="n">
        <v>2024</v>
      </c>
      <c r="AT112" s="17" t="n">
        <v>2022</v>
      </c>
      <c r="AU112" s="21" t="n">
        <v>2003</v>
      </c>
      <c r="AV112" s="17" t="n">
        <v>2025</v>
      </c>
      <c r="AW112" s="19" t="s">
        <v>657</v>
      </c>
      <c r="AX112" s="20"/>
      <c r="AY112" s="20"/>
      <c r="AZ112" s="20" t="n">
        <v>0</v>
      </c>
      <c r="BA112" s="19" t="s">
        <v>389</v>
      </c>
    </row>
    <row r="113" customFormat="false" ht="15" hidden="false" customHeight="true" outlineLevel="0" collapsed="false">
      <c r="A113" s="17" t="s">
        <v>658</v>
      </c>
      <c r="B113" s="17" t="s">
        <v>658</v>
      </c>
      <c r="C113" s="17" t="n">
        <v>135</v>
      </c>
      <c r="D113" s="17" t="n">
        <v>135</v>
      </c>
      <c r="E113" s="17" t="s">
        <v>371</v>
      </c>
      <c r="F113" s="17" t="n">
        <v>167</v>
      </c>
      <c r="G113" s="17" t="s">
        <v>372</v>
      </c>
      <c r="H113" s="17" t="n">
        <v>1983</v>
      </c>
      <c r="I113" s="17" t="n">
        <v>18568</v>
      </c>
      <c r="J113" s="18" t="n">
        <f aca="false">IFERROR(F113/I113*100,"n/a")</f>
        <v>0.899396811719087</v>
      </c>
      <c r="K113" s="17" t="n">
        <v>81</v>
      </c>
      <c r="L113" s="17" t="n">
        <v>2022</v>
      </c>
      <c r="M113" s="17" t="n">
        <v>33475</v>
      </c>
      <c r="N113" s="18" t="n">
        <f aca="false">IFERROR(K113/M113*100,"n/a")</f>
        <v>0.241971620612397</v>
      </c>
      <c r="O113" s="17" t="n">
        <v>85</v>
      </c>
      <c r="P113" s="17" t="n">
        <v>950</v>
      </c>
      <c r="Q113" s="17" t="n">
        <v>1995</v>
      </c>
      <c r="R113" s="17" t="n">
        <v>2</v>
      </c>
      <c r="S113" s="17" t="n">
        <v>23</v>
      </c>
      <c r="T113" s="17" t="n">
        <v>8</v>
      </c>
      <c r="U113" s="17" t="n">
        <v>15</v>
      </c>
      <c r="V113" s="17" t="n">
        <v>18</v>
      </c>
      <c r="W113" s="17" t="n">
        <v>1965</v>
      </c>
      <c r="X113" s="17" t="n">
        <v>2010</v>
      </c>
      <c r="Y113" s="17" t="n">
        <v>14</v>
      </c>
      <c r="Z113" s="17" t="n">
        <v>1</v>
      </c>
      <c r="AA113" s="17" t="n">
        <v>1</v>
      </c>
      <c r="AB113" s="17" t="n">
        <v>0</v>
      </c>
      <c r="AC113" s="17" t="n">
        <v>23</v>
      </c>
      <c r="AD113" s="17" t="n">
        <v>0</v>
      </c>
      <c r="AE113" s="17" t="n">
        <v>1</v>
      </c>
      <c r="AF113" s="17" t="n">
        <v>23</v>
      </c>
      <c r="AG113" s="17" t="n">
        <v>23</v>
      </c>
      <c r="AH113" s="17" t="n">
        <v>0</v>
      </c>
      <c r="AI113" s="17" t="n">
        <v>0</v>
      </c>
      <c r="AJ113" s="18" t="n">
        <f aca="false">IF(S113=0,"n/a",IFERROR(AE113/S113,"n/a"))</f>
        <v>0.0434782608695652</v>
      </c>
      <c r="AK113" s="17" t="s">
        <v>373</v>
      </c>
      <c r="AL113" s="17" t="n">
        <v>18</v>
      </c>
      <c r="AM113" s="17" t="s">
        <v>424</v>
      </c>
      <c r="AN113" s="17" t="n">
        <v>2</v>
      </c>
      <c r="AO113" s="17" t="n">
        <v>10</v>
      </c>
      <c r="AP113" s="17" t="n">
        <v>2014</v>
      </c>
      <c r="AQ113" s="17" t="n">
        <v>2024</v>
      </c>
      <c r="AR113" s="17" t="n">
        <v>0</v>
      </c>
      <c r="AS113" s="17" t="n">
        <v>2024</v>
      </c>
      <c r="AT113" s="17" t="n">
        <v>2022</v>
      </c>
      <c r="AU113" s="17" t="n">
        <v>2003</v>
      </c>
      <c r="AV113" s="17" t="n">
        <v>2025</v>
      </c>
      <c r="AW113" s="19" t="s">
        <v>659</v>
      </c>
      <c r="AX113" s="20"/>
      <c r="AY113" s="20" t="s">
        <v>472</v>
      </c>
      <c r="AZ113" s="20" t="n">
        <v>0</v>
      </c>
      <c r="BA113" s="19" t="s">
        <v>376</v>
      </c>
    </row>
    <row r="114" customFormat="false" ht="15" hidden="false" customHeight="true" outlineLevel="0" collapsed="false">
      <c r="A114" s="17" t="s">
        <v>660</v>
      </c>
      <c r="B114" s="17" t="s">
        <v>660</v>
      </c>
      <c r="C114" s="17" t="n">
        <v>840</v>
      </c>
      <c r="D114" s="17" t="n">
        <v>840</v>
      </c>
      <c r="E114" s="17" t="s">
        <v>371</v>
      </c>
      <c r="F114" s="17" t="n">
        <v>157</v>
      </c>
      <c r="G114" s="17" t="s">
        <v>372</v>
      </c>
      <c r="H114" s="17" t="n">
        <v>1982</v>
      </c>
      <c r="I114" s="17" t="n">
        <v>50783</v>
      </c>
      <c r="J114" s="18" t="n">
        <f aca="false">IFERROR(F114/I114*100,"n/a")</f>
        <v>0.309158576689049</v>
      </c>
      <c r="K114" s="17" t="n">
        <v>145</v>
      </c>
      <c r="L114" s="17" t="n">
        <v>2022</v>
      </c>
      <c r="M114" s="17" t="n">
        <v>113964</v>
      </c>
      <c r="N114" s="18" t="n">
        <f aca="false">IFERROR(K114/M114*100,"n/a")</f>
        <v>0.127233161349198</v>
      </c>
      <c r="O114" s="17" t="n">
        <v>145</v>
      </c>
      <c r="P114" s="17" t="n">
        <v>1092</v>
      </c>
      <c r="Q114" s="17" t="n">
        <v>1973</v>
      </c>
      <c r="R114" s="17" t="n">
        <v>3</v>
      </c>
      <c r="S114" s="17" t="n">
        <v>65</v>
      </c>
      <c r="T114" s="17" t="n">
        <v>21</v>
      </c>
      <c r="U114" s="17" t="n">
        <v>55</v>
      </c>
      <c r="V114" s="17" t="n">
        <v>56</v>
      </c>
      <c r="W114" s="17" t="n">
        <v>1946</v>
      </c>
      <c r="X114" s="17" t="n">
        <v>2024</v>
      </c>
      <c r="Y114" s="17" t="n">
        <v>0</v>
      </c>
      <c r="Z114" s="17" t="n">
        <v>0</v>
      </c>
      <c r="AA114" s="17" t="n">
        <v>0</v>
      </c>
      <c r="AB114" s="17" t="n">
        <v>1</v>
      </c>
      <c r="AC114" s="17" t="n">
        <v>65</v>
      </c>
      <c r="AD114" s="17" t="n">
        <v>0</v>
      </c>
      <c r="AE114" s="17" t="n">
        <v>0</v>
      </c>
      <c r="AF114" s="17" t="n">
        <v>65</v>
      </c>
      <c r="AG114" s="17" t="n">
        <v>65</v>
      </c>
      <c r="AH114" s="17" t="n">
        <v>0</v>
      </c>
      <c r="AI114" s="17" t="n">
        <v>0</v>
      </c>
      <c r="AJ114" s="18" t="n">
        <f aca="false">IF(S114=0,"n/a",IFERROR(AE114/S114,"n/a"))</f>
        <v>0</v>
      </c>
      <c r="AK114" s="17" t="s">
        <v>373</v>
      </c>
      <c r="AL114" s="17"/>
      <c r="AM114" s="17" t="s">
        <v>474</v>
      </c>
      <c r="AN114" s="17" t="n">
        <v>4</v>
      </c>
      <c r="AO114" s="17" t="n">
        <v>10</v>
      </c>
      <c r="AP114" s="17" t="n">
        <v>1950</v>
      </c>
      <c r="AQ114" s="17" t="n">
        <v>2022</v>
      </c>
      <c r="AR114" s="17" t="n">
        <v>9</v>
      </c>
      <c r="AS114" s="17" t="n">
        <v>2024</v>
      </c>
      <c r="AT114" s="17" t="n">
        <v>2022</v>
      </c>
      <c r="AU114" s="17" t="n">
        <v>2003</v>
      </c>
      <c r="AV114" s="17" t="n">
        <v>2025</v>
      </c>
      <c r="AW114" s="19" t="s">
        <v>661</v>
      </c>
      <c r="AX114" s="20"/>
      <c r="AY114" s="20"/>
      <c r="AZ114" s="20" t="n">
        <v>0</v>
      </c>
      <c r="BA114" s="19" t="s">
        <v>389</v>
      </c>
    </row>
    <row r="115" customFormat="false" ht="15" hidden="false" customHeight="true" outlineLevel="0" collapsed="false">
      <c r="A115" s="17" t="s">
        <v>662</v>
      </c>
      <c r="B115" s="17" t="s">
        <v>662</v>
      </c>
      <c r="C115" s="17" t="n">
        <v>290</v>
      </c>
      <c r="D115" s="17" t="n">
        <v>290</v>
      </c>
      <c r="E115" s="17" t="s">
        <v>394</v>
      </c>
      <c r="F115" s="17" t="n">
        <v>450</v>
      </c>
      <c r="G115" s="17" t="s">
        <v>395</v>
      </c>
      <c r="H115" s="17" t="n">
        <v>1952</v>
      </c>
      <c r="I115" s="17" t="n">
        <v>25753</v>
      </c>
      <c r="J115" s="18" t="n">
        <f aca="false">IFERROR(F115/I115*100,"n/a")</f>
        <v>1.74736923853532</v>
      </c>
      <c r="K115" s="17" t="n">
        <v>114</v>
      </c>
      <c r="L115" s="17" t="n">
        <v>2022</v>
      </c>
      <c r="M115" s="17" t="n">
        <v>38386</v>
      </c>
      <c r="N115" s="18" t="n">
        <f aca="false">IFERROR(K115/M115*100,"n/a")</f>
        <v>0.296983275152399</v>
      </c>
      <c r="O115" s="17" t="n">
        <v>235</v>
      </c>
      <c r="P115" s="17" t="n">
        <v>0</v>
      </c>
      <c r="Q115" s="21" t="s">
        <v>9</v>
      </c>
      <c r="R115" s="17" t="n">
        <v>0</v>
      </c>
      <c r="S115" s="17" t="n">
        <v>0</v>
      </c>
      <c r="T115" s="17" t="n">
        <v>0</v>
      </c>
      <c r="U115" s="17" t="n">
        <v>0</v>
      </c>
      <c r="V115" s="17" t="n">
        <v>0</v>
      </c>
      <c r="W115" s="21" t="s">
        <v>9</v>
      </c>
      <c r="X115" s="21" t="s">
        <v>9</v>
      </c>
      <c r="Y115" s="21" t="s">
        <v>9</v>
      </c>
      <c r="Z115" s="17" t="n">
        <v>0</v>
      </c>
      <c r="AA115" s="17" t="n">
        <v>0</v>
      </c>
      <c r="AB115" s="17" t="n">
        <v>0</v>
      </c>
      <c r="AC115" s="17" t="n">
        <v>0</v>
      </c>
      <c r="AD115" s="17" t="n">
        <v>0</v>
      </c>
      <c r="AE115" s="17" t="n">
        <v>0</v>
      </c>
      <c r="AF115" s="17" t="n">
        <v>0</v>
      </c>
      <c r="AG115" s="17" t="n">
        <v>0</v>
      </c>
      <c r="AH115" s="17" t="n">
        <v>0</v>
      </c>
      <c r="AI115" s="17" t="n">
        <v>0</v>
      </c>
      <c r="AJ115" s="18" t="str">
        <f aca="false">IF(S115=0,"n/a",IFERROR(AE115/S115,"n/a"))</f>
        <v>n/a</v>
      </c>
      <c r="AK115" s="17" t="s">
        <v>373</v>
      </c>
      <c r="AL115" s="17" t="n">
        <v>24</v>
      </c>
      <c r="AM115" s="17" t="s">
        <v>663</v>
      </c>
      <c r="AN115" s="17" t="n">
        <v>4</v>
      </c>
      <c r="AO115" s="17" t="n">
        <v>15</v>
      </c>
      <c r="AP115" s="17" t="n">
        <v>1999</v>
      </c>
      <c r="AQ115" s="17" t="n">
        <v>2014</v>
      </c>
      <c r="AR115" s="17" t="n">
        <v>13</v>
      </c>
      <c r="AS115" s="17" t="n">
        <v>2024</v>
      </c>
      <c r="AT115" s="17" t="n">
        <v>2022</v>
      </c>
      <c r="AU115" s="21" t="n">
        <v>2003</v>
      </c>
      <c r="AV115" s="17" t="n">
        <v>2025</v>
      </c>
      <c r="AW115" s="19" t="s">
        <v>664</v>
      </c>
      <c r="AX115" s="20"/>
      <c r="AY115" s="20" t="s">
        <v>472</v>
      </c>
      <c r="AZ115" s="20" t="n">
        <v>0</v>
      </c>
      <c r="BA115" s="19"/>
    </row>
    <row r="116" customFormat="false" ht="15" hidden="false" customHeight="true" outlineLevel="0" collapsed="false">
      <c r="A116" s="17" t="s">
        <v>665</v>
      </c>
      <c r="B116" s="17" t="s">
        <v>665</v>
      </c>
      <c r="C116" s="17" t="n">
        <v>235</v>
      </c>
      <c r="D116" s="17" t="n">
        <v>235</v>
      </c>
      <c r="E116" s="17" t="s">
        <v>371</v>
      </c>
      <c r="F116" s="17" t="n">
        <v>302</v>
      </c>
      <c r="G116" s="17" t="s">
        <v>372</v>
      </c>
      <c r="H116" s="17" t="n">
        <v>1964</v>
      </c>
      <c r="I116" s="17" t="n">
        <v>9122</v>
      </c>
      <c r="J116" s="18" t="n">
        <f aca="false">IFERROR(F116/I116*100,"n/a")</f>
        <v>3.31067748300811</v>
      </c>
      <c r="K116" s="17" t="n">
        <v>27</v>
      </c>
      <c r="L116" s="17" t="n">
        <v>2022</v>
      </c>
      <c r="M116" s="17" t="n">
        <v>10417</v>
      </c>
      <c r="N116" s="18" t="n">
        <f aca="false">IFERROR(K116/M116*100,"n/a")</f>
        <v>0.259191705865412</v>
      </c>
      <c r="O116" s="17" t="n">
        <v>25</v>
      </c>
      <c r="P116" s="17" t="n">
        <v>0</v>
      </c>
      <c r="Q116" s="21" t="s">
        <v>9</v>
      </c>
      <c r="R116" s="17" t="n">
        <v>3</v>
      </c>
      <c r="S116" s="17" t="n">
        <v>14</v>
      </c>
      <c r="T116" s="17" t="n">
        <v>4</v>
      </c>
      <c r="U116" s="17" t="n">
        <v>12</v>
      </c>
      <c r="V116" s="17" t="n">
        <v>14</v>
      </c>
      <c r="W116" s="17" t="n">
        <v>1961</v>
      </c>
      <c r="X116" s="17" t="n">
        <v>1974</v>
      </c>
      <c r="Y116" s="17" t="n">
        <v>50</v>
      </c>
      <c r="Z116" s="17" t="n">
        <v>0</v>
      </c>
      <c r="AA116" s="17" t="n">
        <v>0</v>
      </c>
      <c r="AB116" s="17" t="n">
        <v>0</v>
      </c>
      <c r="AC116" s="17" t="n">
        <v>0</v>
      </c>
      <c r="AD116" s="17" t="n">
        <v>14</v>
      </c>
      <c r="AE116" s="17" t="n">
        <v>0</v>
      </c>
      <c r="AF116" s="17" t="n">
        <v>0</v>
      </c>
      <c r="AG116" s="17" t="n">
        <v>0</v>
      </c>
      <c r="AH116" s="17" t="n">
        <v>0</v>
      </c>
      <c r="AI116" s="17" t="n">
        <v>14</v>
      </c>
      <c r="AJ116" s="18" t="n">
        <f aca="false">IF(S116=0,"n/a",IFERROR(AE116/S116,"n/a"))</f>
        <v>0</v>
      </c>
      <c r="AK116" s="17" t="s">
        <v>373</v>
      </c>
      <c r="AL116" s="17" t="n">
        <v>240</v>
      </c>
      <c r="AM116" s="17" t="s">
        <v>378</v>
      </c>
      <c r="AN116" s="17" t="n">
        <v>10</v>
      </c>
      <c r="AO116" s="17" t="n">
        <v>23</v>
      </c>
      <c r="AP116" s="17" t="n">
        <v>1991</v>
      </c>
      <c r="AQ116" s="17" t="n">
        <v>2024</v>
      </c>
      <c r="AR116" s="17" t="n">
        <v>14</v>
      </c>
      <c r="AS116" s="17" t="n">
        <v>2024</v>
      </c>
      <c r="AT116" s="17" t="n">
        <v>2022</v>
      </c>
      <c r="AU116" s="21" t="n">
        <v>2003</v>
      </c>
      <c r="AV116" s="17" t="n">
        <v>2025</v>
      </c>
      <c r="AW116" s="19" t="s">
        <v>666</v>
      </c>
      <c r="AX116" s="20"/>
      <c r="AY116" s="20" t="s">
        <v>567</v>
      </c>
      <c r="AZ116" s="20" t="n">
        <v>0</v>
      </c>
      <c r="BA116" s="19" t="s">
        <v>667</v>
      </c>
    </row>
    <row r="117" customFormat="false" ht="15" hidden="false" customHeight="true" outlineLevel="0" collapsed="false">
      <c r="A117" s="17" t="s">
        <v>668</v>
      </c>
      <c r="B117" s="17" t="s">
        <v>668</v>
      </c>
      <c r="C117" s="17" t="n">
        <v>694</v>
      </c>
      <c r="D117" s="17" t="n">
        <v>694</v>
      </c>
      <c r="E117" s="17" t="s">
        <v>394</v>
      </c>
      <c r="F117" s="17" t="n">
        <v>17</v>
      </c>
      <c r="G117" s="17" t="s">
        <v>395</v>
      </c>
      <c r="H117" s="17" t="n">
        <v>2018</v>
      </c>
      <c r="I117" s="17" t="n">
        <v>2761</v>
      </c>
      <c r="J117" s="18" t="n">
        <f aca="false">IFERROR(F117/I117*100,"n/a")</f>
        <v>0.61571894241217</v>
      </c>
      <c r="K117" s="17" t="n">
        <v>17</v>
      </c>
      <c r="L117" s="17" t="n">
        <v>2022</v>
      </c>
      <c r="M117" s="17" t="n">
        <v>2892</v>
      </c>
      <c r="N117" s="18" t="n">
        <f aca="false">IFERROR(K117/M117*100,"n/a")</f>
        <v>0.587828492392808</v>
      </c>
      <c r="O117" s="17" t="n">
        <v>15</v>
      </c>
      <c r="P117" s="17" t="n">
        <v>0</v>
      </c>
      <c r="Q117" s="17" t="n">
        <v>1991</v>
      </c>
      <c r="R117" s="17" t="n">
        <v>0</v>
      </c>
      <c r="S117" s="17" t="n">
        <v>0</v>
      </c>
      <c r="T117" s="17" t="n">
        <v>0</v>
      </c>
      <c r="U117" s="17" t="n">
        <v>0</v>
      </c>
      <c r="V117" s="17" t="n">
        <v>0</v>
      </c>
      <c r="W117" s="21" t="s">
        <v>9</v>
      </c>
      <c r="X117" s="21" t="s">
        <v>9</v>
      </c>
      <c r="Y117" s="21" t="s">
        <v>9</v>
      </c>
      <c r="Z117" s="17" t="n">
        <v>0</v>
      </c>
      <c r="AA117" s="17" t="n">
        <v>0</v>
      </c>
      <c r="AB117" s="17" t="n">
        <v>0</v>
      </c>
      <c r="AC117" s="17" t="n">
        <v>0</v>
      </c>
      <c r="AD117" s="17" t="n">
        <v>0</v>
      </c>
      <c r="AE117" s="17" t="n">
        <v>0</v>
      </c>
      <c r="AF117" s="17" t="n">
        <v>0</v>
      </c>
      <c r="AG117" s="17" t="n">
        <v>0</v>
      </c>
      <c r="AH117" s="17" t="n">
        <v>0</v>
      </c>
      <c r="AI117" s="17" t="n">
        <v>0</v>
      </c>
      <c r="AJ117" s="18" t="str">
        <f aca="false">IF(S117=0,"n/a",IFERROR(AE117/S117,"n/a"))</f>
        <v>n/a</v>
      </c>
      <c r="AK117" s="17" t="s">
        <v>382</v>
      </c>
      <c r="AL117" s="17" t="n">
        <v>8</v>
      </c>
      <c r="AM117" s="17" t="s">
        <v>669</v>
      </c>
      <c r="AN117" s="17" t="n">
        <v>2</v>
      </c>
      <c r="AO117" s="17" t="n">
        <v>4</v>
      </c>
      <c r="AP117" s="17" t="n">
        <v>1991</v>
      </c>
      <c r="AQ117" s="17" t="n">
        <v>2017</v>
      </c>
      <c r="AR117" s="17" t="n">
        <v>4</v>
      </c>
      <c r="AS117" s="17" t="n">
        <v>2024</v>
      </c>
      <c r="AT117" s="17" t="n">
        <v>2022</v>
      </c>
      <c r="AU117" s="17" t="n">
        <v>2003</v>
      </c>
      <c r="AV117" s="17" t="n">
        <v>2025</v>
      </c>
      <c r="AW117" s="19" t="s">
        <v>670</v>
      </c>
      <c r="AX117" s="20"/>
      <c r="AY117" s="20"/>
      <c r="AZ117" s="20" t="n">
        <v>0</v>
      </c>
      <c r="BA117" s="19"/>
    </row>
    <row r="118" customFormat="false" ht="15" hidden="false" customHeight="true" outlineLevel="0" collapsed="false">
      <c r="A118" s="17" t="s">
        <v>671</v>
      </c>
      <c r="B118" s="17" t="s">
        <v>672</v>
      </c>
      <c r="C118" s="17" t="n">
        <v>360</v>
      </c>
      <c r="D118" s="17" t="n">
        <v>360</v>
      </c>
      <c r="E118" s="17" t="s">
        <v>371</v>
      </c>
      <c r="F118" s="17" t="n">
        <v>207</v>
      </c>
      <c r="G118" s="17" t="s">
        <v>372</v>
      </c>
      <c r="H118" s="17" t="n">
        <v>1989</v>
      </c>
      <c r="I118" s="17" t="n">
        <v>23152</v>
      </c>
      <c r="J118" s="18" t="n">
        <f aca="false">IFERROR(F118/I118*100,"n/a")</f>
        <v>0.894091223220456</v>
      </c>
      <c r="K118" s="17" t="n">
        <v>72</v>
      </c>
      <c r="L118" s="17" t="n">
        <v>2022</v>
      </c>
      <c r="M118" s="17" t="n">
        <v>19167</v>
      </c>
      <c r="N118" s="18" t="n">
        <f aca="false">IFERROR(K118/M118*100,"n/a")</f>
        <v>0.375645640945375</v>
      </c>
      <c r="O118" s="17" t="n">
        <v>70</v>
      </c>
      <c r="P118" s="17" t="n">
        <v>0</v>
      </c>
      <c r="Q118" s="21" t="s">
        <v>9</v>
      </c>
      <c r="R118" s="17" t="n">
        <v>1</v>
      </c>
      <c r="S118" s="17" t="n">
        <v>1</v>
      </c>
      <c r="T118" s="17" t="n">
        <v>0</v>
      </c>
      <c r="U118" s="17" t="n">
        <v>1</v>
      </c>
      <c r="V118" s="17" t="n">
        <v>1</v>
      </c>
      <c r="W118" s="17" t="n">
        <v>1989</v>
      </c>
      <c r="X118" s="17" t="n">
        <v>1989</v>
      </c>
      <c r="Y118" s="17" t="n">
        <v>35</v>
      </c>
      <c r="Z118" s="17" t="n">
        <v>0</v>
      </c>
      <c r="AA118" s="17" t="n">
        <v>0</v>
      </c>
      <c r="AB118" s="17" t="n">
        <v>0</v>
      </c>
      <c r="AC118" s="17" t="n">
        <v>1</v>
      </c>
      <c r="AD118" s="17" t="n">
        <v>0</v>
      </c>
      <c r="AE118" s="17" t="n">
        <v>0</v>
      </c>
      <c r="AF118" s="17" t="n">
        <v>1</v>
      </c>
      <c r="AG118" s="17" t="n">
        <v>1</v>
      </c>
      <c r="AH118" s="17" t="n">
        <v>0</v>
      </c>
      <c r="AI118" s="17" t="n">
        <v>0</v>
      </c>
      <c r="AJ118" s="18" t="n">
        <f aca="false">IF(S118=0,"n/a",IFERROR(AE118/S118,"n/a"))</f>
        <v>0</v>
      </c>
      <c r="AK118" s="17" t="s">
        <v>373</v>
      </c>
      <c r="AL118" s="17"/>
      <c r="AM118" s="17"/>
      <c r="AN118" s="17" t="n">
        <v>8</v>
      </c>
      <c r="AO118" s="17" t="n">
        <v>23</v>
      </c>
      <c r="AP118" s="17" t="n">
        <v>2002</v>
      </c>
      <c r="AQ118" s="17" t="n">
        <v>2024</v>
      </c>
      <c r="AR118" s="17" t="n">
        <v>12</v>
      </c>
      <c r="AS118" s="17" t="n">
        <v>2024</v>
      </c>
      <c r="AT118" s="17" t="n">
        <v>2022</v>
      </c>
      <c r="AU118" s="21" t="n">
        <v>2003</v>
      </c>
      <c r="AV118" s="17" t="n">
        <v>2025</v>
      </c>
      <c r="AW118" s="19" t="s">
        <v>673</v>
      </c>
      <c r="AX118" s="20"/>
      <c r="AY118" s="20"/>
      <c r="AZ118" s="20" t="n">
        <v>0</v>
      </c>
      <c r="BA118" s="19" t="s">
        <v>389</v>
      </c>
    </row>
    <row r="119" customFormat="false" ht="15" hidden="false" customHeight="true" outlineLevel="0" collapsed="false">
      <c r="A119" s="17" t="s">
        <v>674</v>
      </c>
      <c r="B119" s="17" t="s">
        <v>674</v>
      </c>
      <c r="C119" s="17" t="n">
        <v>365</v>
      </c>
      <c r="D119" s="17" t="n">
        <v>365</v>
      </c>
      <c r="E119" s="17" t="s">
        <v>371</v>
      </c>
      <c r="F119" s="17" t="n">
        <v>5100</v>
      </c>
      <c r="G119" s="17" t="s">
        <v>372</v>
      </c>
      <c r="H119" s="17" t="n">
        <v>1956</v>
      </c>
      <c r="I119" s="17" t="n">
        <v>199658</v>
      </c>
      <c r="J119" s="18" t="n">
        <f aca="false">IFERROR(F119/I119*100,"n/a")</f>
        <v>2.55436796922738</v>
      </c>
      <c r="K119" s="17" t="n">
        <v>1190</v>
      </c>
      <c r="L119" s="17" t="n">
        <v>2022</v>
      </c>
      <c r="M119" s="17" t="n">
        <v>145580</v>
      </c>
      <c r="N119" s="18" t="n">
        <f aca="false">IFERROR(K119/M119*100,"n/a")</f>
        <v>0.817419975271328</v>
      </c>
      <c r="O119" s="17" t="n">
        <v>1200</v>
      </c>
      <c r="P119" s="17" t="n">
        <v>1500</v>
      </c>
      <c r="Q119" s="17" t="n">
        <v>1956</v>
      </c>
      <c r="R119" s="17" t="n">
        <v>15</v>
      </c>
      <c r="S119" s="17" t="n">
        <v>39</v>
      </c>
      <c r="T119" s="17" t="n">
        <v>13</v>
      </c>
      <c r="U119" s="17" t="n">
        <v>32</v>
      </c>
      <c r="V119" s="17" t="n">
        <v>22</v>
      </c>
      <c r="W119" s="17" t="n">
        <v>1946</v>
      </c>
      <c r="X119" s="17" t="n">
        <v>2024</v>
      </c>
      <c r="Y119" s="17" t="n">
        <v>0</v>
      </c>
      <c r="Z119" s="17" t="n">
        <v>6</v>
      </c>
      <c r="AA119" s="22" t="n">
        <v>14</v>
      </c>
      <c r="AB119" s="17" t="n">
        <v>0</v>
      </c>
      <c r="AC119" s="17" t="n">
        <v>35</v>
      </c>
      <c r="AD119" s="17" t="n">
        <v>0</v>
      </c>
      <c r="AE119" s="17" t="n">
        <v>1</v>
      </c>
      <c r="AF119" s="17" t="n">
        <v>35</v>
      </c>
      <c r="AG119" s="17" t="n">
        <v>36</v>
      </c>
      <c r="AH119" s="17" t="n">
        <v>0</v>
      </c>
      <c r="AI119" s="17" t="n">
        <v>5</v>
      </c>
      <c r="AJ119" s="18" t="n">
        <f aca="false">IF(S119=0,"n/a",IFERROR(AE119/S119,"n/a"))</f>
        <v>0.0256410256410256</v>
      </c>
      <c r="AK119" s="17" t="s">
        <v>382</v>
      </c>
      <c r="AL119" s="17" t="n">
        <v>12</v>
      </c>
      <c r="AM119" s="17" t="s">
        <v>675</v>
      </c>
      <c r="AN119" s="17" t="n">
        <v>15</v>
      </c>
      <c r="AO119" s="17" t="n">
        <v>31</v>
      </c>
      <c r="AP119" s="17" t="n">
        <v>1946</v>
      </c>
      <c r="AQ119" s="17" t="n">
        <v>2024</v>
      </c>
      <c r="AR119" s="17" t="n">
        <v>25</v>
      </c>
      <c r="AS119" s="17" t="n">
        <v>2024</v>
      </c>
      <c r="AT119" s="17" t="n">
        <v>2022</v>
      </c>
      <c r="AU119" s="17" t="n">
        <v>2003</v>
      </c>
      <c r="AV119" s="17" t="n">
        <v>2025</v>
      </c>
      <c r="AW119" s="19" t="s">
        <v>676</v>
      </c>
      <c r="AX119" s="20" t="s">
        <v>677</v>
      </c>
      <c r="AY119" s="20" t="s">
        <v>480</v>
      </c>
      <c r="AZ119" s="20" t="n">
        <v>0</v>
      </c>
      <c r="BA119" s="19" t="s">
        <v>376</v>
      </c>
    </row>
    <row r="120" customFormat="false" ht="15" hidden="false" customHeight="true" outlineLevel="0" collapsed="false">
      <c r="A120" s="17" t="s">
        <v>678</v>
      </c>
      <c r="B120" s="17" t="s">
        <v>678</v>
      </c>
      <c r="C120" s="17" t="n">
        <v>517</v>
      </c>
      <c r="D120" s="17" t="n">
        <v>517</v>
      </c>
      <c r="E120" s="17" t="s">
        <v>371</v>
      </c>
      <c r="F120" s="17" t="n">
        <v>70</v>
      </c>
      <c r="G120" s="17" t="s">
        <v>372</v>
      </c>
      <c r="H120" s="17" t="n">
        <v>2000</v>
      </c>
      <c r="I120" s="17" t="n">
        <v>7733</v>
      </c>
      <c r="J120" s="18" t="n">
        <f aca="false">IFERROR(F120/I120*100,"n/a")</f>
        <v>0.905211431527221</v>
      </c>
      <c r="K120" s="17" t="n">
        <v>33</v>
      </c>
      <c r="L120" s="17" t="n">
        <v>2022</v>
      </c>
      <c r="M120" s="17" t="n">
        <v>13651</v>
      </c>
      <c r="N120" s="18" t="n">
        <f aca="false">IFERROR(K120/M120*100,"n/a")</f>
        <v>0.24174053182917</v>
      </c>
      <c r="O120" s="17" t="n">
        <v>35</v>
      </c>
      <c r="P120" s="17" t="n">
        <v>0</v>
      </c>
      <c r="Q120" s="21" t="s">
        <v>9</v>
      </c>
      <c r="R120" s="17" t="n">
        <v>1</v>
      </c>
      <c r="S120" s="17" t="n">
        <v>22</v>
      </c>
      <c r="T120" s="17" t="n">
        <v>6</v>
      </c>
      <c r="U120" s="17" t="n">
        <v>16</v>
      </c>
      <c r="V120" s="17" t="n">
        <v>7</v>
      </c>
      <c r="W120" s="17" t="n">
        <v>1990</v>
      </c>
      <c r="X120" s="17" t="n">
        <v>2024</v>
      </c>
      <c r="Y120" s="17" t="n">
        <v>0</v>
      </c>
      <c r="Z120" s="17" t="n">
        <v>0</v>
      </c>
      <c r="AA120" s="17" t="n">
        <v>0</v>
      </c>
      <c r="AB120" s="17" t="n">
        <v>8</v>
      </c>
      <c r="AC120" s="17" t="n">
        <v>14</v>
      </c>
      <c r="AD120" s="17" t="n">
        <v>0</v>
      </c>
      <c r="AE120" s="17" t="n">
        <v>0</v>
      </c>
      <c r="AF120" s="17" t="n">
        <v>22</v>
      </c>
      <c r="AG120" s="17" t="n">
        <v>22</v>
      </c>
      <c r="AH120" s="17" t="n">
        <v>0</v>
      </c>
      <c r="AI120" s="17" t="n">
        <v>0</v>
      </c>
      <c r="AJ120" s="18" t="n">
        <f aca="false">IF(S120=0,"n/a",IFERROR(AE120/S120,"n/a"))</f>
        <v>0</v>
      </c>
      <c r="AK120" s="17" t="s">
        <v>373</v>
      </c>
      <c r="AL120" s="17"/>
      <c r="AM120" s="17" t="s">
        <v>679</v>
      </c>
      <c r="AN120" s="17" t="n">
        <v>6</v>
      </c>
      <c r="AO120" s="17" t="n">
        <v>18</v>
      </c>
      <c r="AP120" s="17" t="n">
        <v>1996</v>
      </c>
      <c r="AQ120" s="17" t="n">
        <v>2024</v>
      </c>
      <c r="AR120" s="17" t="n">
        <v>6</v>
      </c>
      <c r="AS120" s="17" t="n">
        <v>2024</v>
      </c>
      <c r="AT120" s="17" t="n">
        <v>2022</v>
      </c>
      <c r="AU120" s="21" t="n">
        <v>2003</v>
      </c>
      <c r="AV120" s="17" t="n">
        <v>2025</v>
      </c>
      <c r="AW120" s="19" t="s">
        <v>680</v>
      </c>
      <c r="AX120" s="20"/>
      <c r="AY120" s="20"/>
      <c r="AZ120" s="20" t="n">
        <v>0</v>
      </c>
      <c r="BA120" s="19" t="s">
        <v>389</v>
      </c>
    </row>
    <row r="121" customFormat="false" ht="15" hidden="false" customHeight="true" outlineLevel="0" collapsed="false">
      <c r="A121" s="17" t="s">
        <v>681</v>
      </c>
      <c r="B121" s="17" t="s">
        <v>681</v>
      </c>
      <c r="C121" s="17" t="n">
        <v>670</v>
      </c>
      <c r="D121" s="17" t="n">
        <v>670</v>
      </c>
      <c r="E121" s="17" t="s">
        <v>371</v>
      </c>
      <c r="F121" s="17" t="n">
        <v>79</v>
      </c>
      <c r="G121" s="17" t="s">
        <v>372</v>
      </c>
      <c r="H121" s="17" t="n">
        <v>1979</v>
      </c>
      <c r="I121" s="17" t="n">
        <v>9070</v>
      </c>
      <c r="J121" s="18" t="n">
        <f aca="false">IFERROR(F121/I121*100,"n/a")</f>
        <v>0.871003307607497</v>
      </c>
      <c r="K121" s="17" t="n">
        <v>257</v>
      </c>
      <c r="L121" s="17" t="n">
        <v>2022</v>
      </c>
      <c r="M121" s="17" t="n">
        <v>32175</v>
      </c>
      <c r="N121" s="18" t="n">
        <f aca="false">IFERROR(K121/M121*100,"n/a")</f>
        <v>0.798756798756799</v>
      </c>
      <c r="O121" s="17" t="n">
        <v>250</v>
      </c>
      <c r="P121" s="17" t="n">
        <v>144</v>
      </c>
      <c r="Q121" s="17" t="n">
        <v>1991</v>
      </c>
      <c r="R121" s="17" t="n">
        <v>1</v>
      </c>
      <c r="S121" s="17" t="n">
        <v>1</v>
      </c>
      <c r="T121" s="17" t="n">
        <v>0</v>
      </c>
      <c r="U121" s="17" t="n">
        <v>1</v>
      </c>
      <c r="V121" s="17" t="n">
        <v>1</v>
      </c>
      <c r="W121" s="17" t="n">
        <v>1979</v>
      </c>
      <c r="X121" s="17" t="n">
        <v>1979</v>
      </c>
      <c r="Y121" s="17" t="n">
        <v>45</v>
      </c>
      <c r="Z121" s="17" t="n">
        <v>0</v>
      </c>
      <c r="AA121" s="17" t="n">
        <v>0</v>
      </c>
      <c r="AB121" s="17" t="n">
        <v>0</v>
      </c>
      <c r="AC121" s="17" t="n">
        <v>1</v>
      </c>
      <c r="AD121" s="17" t="n">
        <v>0</v>
      </c>
      <c r="AE121" s="17" t="n">
        <v>0</v>
      </c>
      <c r="AF121" s="17" t="n">
        <v>1</v>
      </c>
      <c r="AG121" s="17" t="n">
        <v>1</v>
      </c>
      <c r="AH121" s="17" t="n">
        <v>0</v>
      </c>
      <c r="AI121" s="17" t="n">
        <v>0</v>
      </c>
      <c r="AJ121" s="18" t="n">
        <f aca="false">IF(S121=0,"n/a",IFERROR(AE121/S121,"n/a"))</f>
        <v>0</v>
      </c>
      <c r="AK121" s="17" t="s">
        <v>373</v>
      </c>
      <c r="AL121" s="17"/>
      <c r="AM121" s="17" t="s">
        <v>682</v>
      </c>
      <c r="AN121" s="17" t="n">
        <v>4</v>
      </c>
      <c r="AO121" s="17" t="n">
        <v>16</v>
      </c>
      <c r="AP121" s="17" t="n">
        <v>1991</v>
      </c>
      <c r="AQ121" s="17" t="n">
        <v>2024</v>
      </c>
      <c r="AR121" s="17" t="n">
        <v>10</v>
      </c>
      <c r="AS121" s="17" t="n">
        <v>2024</v>
      </c>
      <c r="AT121" s="17" t="n">
        <v>2022</v>
      </c>
      <c r="AU121" s="17" t="n">
        <v>2003</v>
      </c>
      <c r="AV121" s="17" t="n">
        <v>2025</v>
      </c>
      <c r="AW121" s="19" t="s">
        <v>683</v>
      </c>
      <c r="AX121" s="20"/>
      <c r="AY121" s="20"/>
      <c r="AZ121" s="20" t="n">
        <v>0</v>
      </c>
      <c r="BA121" s="19" t="s">
        <v>389</v>
      </c>
    </row>
    <row r="122" customFormat="false" ht="15" hidden="false" customHeight="true" outlineLevel="0" collapsed="false">
      <c r="A122" s="17" t="s">
        <v>684</v>
      </c>
      <c r="B122" s="17" t="s">
        <v>684</v>
      </c>
      <c r="C122" s="17" t="n">
        <v>433</v>
      </c>
      <c r="D122" s="17" t="n">
        <v>433</v>
      </c>
      <c r="E122" s="17" t="s">
        <v>371</v>
      </c>
      <c r="F122" s="17" t="n">
        <v>18</v>
      </c>
      <c r="G122" s="17" t="s">
        <v>372</v>
      </c>
      <c r="H122" s="17" t="n">
        <v>1990</v>
      </c>
      <c r="I122" s="17" t="n">
        <v>7298</v>
      </c>
      <c r="J122" s="18" t="n">
        <f aca="false">IFERROR(F122/I122*100,"n/a")</f>
        <v>0.246642915867361</v>
      </c>
      <c r="K122" s="17" t="n">
        <v>14</v>
      </c>
      <c r="L122" s="17" t="n">
        <v>2022</v>
      </c>
      <c r="M122" s="17" t="n">
        <v>17651</v>
      </c>
      <c r="N122" s="18" t="n">
        <f aca="false">IFERROR(K122/M122*100,"n/a")</f>
        <v>0.0793156195116424</v>
      </c>
      <c r="O122" s="17" t="n">
        <v>25</v>
      </c>
      <c r="P122" s="17" t="n">
        <v>0</v>
      </c>
      <c r="Q122" s="21" t="s">
        <v>9</v>
      </c>
      <c r="R122" s="17" t="n">
        <v>1</v>
      </c>
      <c r="S122" s="17" t="n">
        <v>10</v>
      </c>
      <c r="T122" s="17" t="n">
        <v>0</v>
      </c>
      <c r="U122" s="17" t="n">
        <v>10</v>
      </c>
      <c r="V122" s="17" t="n">
        <v>2</v>
      </c>
      <c r="W122" s="17" t="n">
        <v>1990</v>
      </c>
      <c r="X122" s="17" t="n">
        <v>2011</v>
      </c>
      <c r="Y122" s="17" t="n">
        <v>13</v>
      </c>
      <c r="Z122" s="17" t="n">
        <v>0</v>
      </c>
      <c r="AA122" s="17" t="n">
        <v>0</v>
      </c>
      <c r="AB122" s="17" t="n">
        <v>0</v>
      </c>
      <c r="AC122" s="17" t="n">
        <v>10</v>
      </c>
      <c r="AD122" s="17" t="n">
        <v>0</v>
      </c>
      <c r="AE122" s="17" t="n">
        <v>0</v>
      </c>
      <c r="AF122" s="17" t="n">
        <v>10</v>
      </c>
      <c r="AG122" s="17" t="n">
        <v>10</v>
      </c>
      <c r="AH122" s="17" t="n">
        <v>0</v>
      </c>
      <c r="AI122" s="17" t="n">
        <v>0</v>
      </c>
      <c r="AJ122" s="18" t="n">
        <f aca="false">IF(S122=0,"n/a",IFERROR(AE122/S122,"n/a"))</f>
        <v>0</v>
      </c>
      <c r="AK122" s="17" t="s">
        <v>373</v>
      </c>
      <c r="AL122" s="17" t="n">
        <v>24</v>
      </c>
      <c r="AM122" s="17" t="s">
        <v>685</v>
      </c>
      <c r="AN122" s="17" t="n">
        <v>8</v>
      </c>
      <c r="AO122" s="17" t="n">
        <v>16</v>
      </c>
      <c r="AP122" s="17" t="n">
        <v>1981</v>
      </c>
      <c r="AQ122" s="17" t="n">
        <v>2024</v>
      </c>
      <c r="AR122" s="17" t="n">
        <v>2</v>
      </c>
      <c r="AS122" s="17" t="n">
        <v>2024</v>
      </c>
      <c r="AT122" s="17" t="n">
        <v>2022</v>
      </c>
      <c r="AU122" s="21" t="n">
        <v>2003</v>
      </c>
      <c r="AV122" s="17" t="n">
        <v>2025</v>
      </c>
      <c r="AW122" s="19" t="s">
        <v>686</v>
      </c>
      <c r="AX122" s="20"/>
      <c r="AY122" s="20" t="s">
        <v>472</v>
      </c>
      <c r="AZ122" s="20" t="n">
        <v>0</v>
      </c>
      <c r="BA122" s="19" t="s">
        <v>389</v>
      </c>
    </row>
    <row r="123" customFormat="false" ht="15" hidden="false" customHeight="true" outlineLevel="0" collapsed="false">
      <c r="A123" s="17" t="s">
        <v>687</v>
      </c>
      <c r="B123" s="17" t="s">
        <v>687</v>
      </c>
      <c r="C123" s="17" t="n">
        <v>451</v>
      </c>
      <c r="D123" s="17" t="n">
        <v>451</v>
      </c>
      <c r="E123" s="17" t="s">
        <v>371</v>
      </c>
      <c r="F123" s="17" t="n">
        <v>8</v>
      </c>
      <c r="G123" s="17" t="s">
        <v>372</v>
      </c>
      <c r="H123" s="17" t="n">
        <v>1992</v>
      </c>
      <c r="I123" s="17" t="n">
        <v>4066</v>
      </c>
      <c r="J123" s="18" t="n">
        <f aca="false">IFERROR(F123/I123*100,"n/a")</f>
        <v>0.196753566158387</v>
      </c>
      <c r="K123" s="17" t="n">
        <v>9</v>
      </c>
      <c r="L123" s="17" t="n">
        <v>2022</v>
      </c>
      <c r="M123" s="17" t="n">
        <v>8277</v>
      </c>
      <c r="N123" s="18" t="n">
        <f aca="false">IFERROR(K123/M123*100,"n/a")</f>
        <v>0.108735048930772</v>
      </c>
      <c r="O123" s="17" t="n">
        <v>10</v>
      </c>
      <c r="P123" s="17" t="n">
        <v>0</v>
      </c>
      <c r="Q123" s="21" t="s">
        <v>9</v>
      </c>
      <c r="R123" s="17" t="n">
        <v>1</v>
      </c>
      <c r="S123" s="17" t="n">
        <v>11</v>
      </c>
      <c r="T123" s="17" t="n">
        <v>3</v>
      </c>
      <c r="U123" s="17" t="n">
        <v>8</v>
      </c>
      <c r="V123" s="17" t="n">
        <v>11</v>
      </c>
      <c r="W123" s="17" t="n">
        <v>1991</v>
      </c>
      <c r="X123" s="17" t="n">
        <v>2001</v>
      </c>
      <c r="Y123" s="17" t="n">
        <v>23</v>
      </c>
      <c r="Z123" s="17" t="n">
        <v>0</v>
      </c>
      <c r="AA123" s="17" t="n">
        <v>0</v>
      </c>
      <c r="AB123" s="17" t="n">
        <v>10</v>
      </c>
      <c r="AC123" s="17" t="n">
        <v>1</v>
      </c>
      <c r="AD123" s="17" t="n">
        <v>0</v>
      </c>
      <c r="AE123" s="17" t="n">
        <v>0</v>
      </c>
      <c r="AF123" s="17" t="n">
        <v>11</v>
      </c>
      <c r="AG123" s="17" t="n">
        <v>11</v>
      </c>
      <c r="AH123" s="17" t="n">
        <v>0</v>
      </c>
      <c r="AI123" s="17" t="n">
        <v>0</v>
      </c>
      <c r="AJ123" s="18" t="n">
        <f aca="false">IF(S123=0,"n/a",IFERROR(AE123/S123,"n/a"))</f>
        <v>0</v>
      </c>
      <c r="AK123" s="17" t="s">
        <v>373</v>
      </c>
      <c r="AL123" s="17"/>
      <c r="AM123" s="17" t="s">
        <v>635</v>
      </c>
      <c r="AN123" s="17" t="n">
        <v>6</v>
      </c>
      <c r="AO123" s="17" t="n">
        <v>14</v>
      </c>
      <c r="AP123" s="17" t="n">
        <v>1991</v>
      </c>
      <c r="AQ123" s="17" t="n">
        <v>2024</v>
      </c>
      <c r="AR123" s="17" t="n">
        <v>13</v>
      </c>
      <c r="AS123" s="17" t="n">
        <v>2024</v>
      </c>
      <c r="AT123" s="17" t="n">
        <v>2022</v>
      </c>
      <c r="AU123" s="21" t="n">
        <v>2003</v>
      </c>
      <c r="AV123" s="17" t="n">
        <v>2025</v>
      </c>
      <c r="AW123" s="19" t="s">
        <v>688</v>
      </c>
      <c r="AX123" s="20"/>
      <c r="AY123" s="20"/>
      <c r="AZ123" s="20" t="n">
        <v>0</v>
      </c>
      <c r="BA123" s="19" t="s">
        <v>389</v>
      </c>
    </row>
    <row r="124" customFormat="false" ht="15" hidden="false" customHeight="true" outlineLevel="0" collapsed="false">
      <c r="A124" s="17" t="s">
        <v>689</v>
      </c>
      <c r="B124" s="17" t="s">
        <v>689</v>
      </c>
      <c r="C124" s="17" t="n">
        <v>830</v>
      </c>
      <c r="D124" s="17" t="n">
        <v>830</v>
      </c>
      <c r="E124" s="17" t="s">
        <v>394</v>
      </c>
      <c r="F124" s="17" t="n">
        <v>73</v>
      </c>
      <c r="G124" s="17" t="s">
        <v>395</v>
      </c>
      <c r="H124" s="17" t="n">
        <v>2005</v>
      </c>
      <c r="I124" s="17" t="n">
        <v>4496</v>
      </c>
      <c r="J124" s="18" t="n">
        <f aca="false">IFERROR(F124/I124*100,"n/a")</f>
        <v>1.62366548042705</v>
      </c>
      <c r="K124" s="17" t="n">
        <v>51</v>
      </c>
      <c r="L124" s="17" t="n">
        <v>2022</v>
      </c>
      <c r="M124" s="17" t="n">
        <v>5650</v>
      </c>
      <c r="N124" s="18" t="n">
        <f aca="false">IFERROR(K124/M124*100,"n/a")</f>
        <v>0.902654867256637</v>
      </c>
      <c r="O124" s="17" t="n">
        <v>55</v>
      </c>
      <c r="P124" s="17" t="n">
        <v>0</v>
      </c>
      <c r="Q124" s="21" t="s">
        <v>9</v>
      </c>
      <c r="R124" s="17" t="n">
        <v>0</v>
      </c>
      <c r="S124" s="17" t="n">
        <v>0</v>
      </c>
      <c r="T124" s="17" t="n">
        <v>0</v>
      </c>
      <c r="U124" s="17" t="n">
        <v>0</v>
      </c>
      <c r="V124" s="17" t="n">
        <v>0</v>
      </c>
      <c r="W124" s="21" t="s">
        <v>9</v>
      </c>
      <c r="X124" s="21" t="s">
        <v>9</v>
      </c>
      <c r="Y124" s="21" t="s">
        <v>9</v>
      </c>
      <c r="Z124" s="17" t="n">
        <v>0</v>
      </c>
      <c r="AA124" s="17" t="n">
        <v>0</v>
      </c>
      <c r="AB124" s="17" t="n">
        <v>0</v>
      </c>
      <c r="AC124" s="17" t="n">
        <v>0</v>
      </c>
      <c r="AD124" s="17" t="n">
        <v>0</v>
      </c>
      <c r="AE124" s="17" t="n">
        <v>0</v>
      </c>
      <c r="AF124" s="17" t="n">
        <v>0</v>
      </c>
      <c r="AG124" s="17" t="n">
        <v>0</v>
      </c>
      <c r="AH124" s="17" t="n">
        <v>0</v>
      </c>
      <c r="AI124" s="17" t="n">
        <v>0</v>
      </c>
      <c r="AJ124" s="18" t="str">
        <f aca="false">IF(S124=0,"n/a",IFERROR(AE124/S124,"n/a"))</f>
        <v>n/a</v>
      </c>
      <c r="AK124" s="17" t="s">
        <v>382</v>
      </c>
      <c r="AL124" s="17" t="n">
        <v>24</v>
      </c>
      <c r="AM124" s="17" t="s">
        <v>407</v>
      </c>
      <c r="AN124" s="17" t="n">
        <v>2</v>
      </c>
      <c r="AO124" s="17" t="n">
        <v>6</v>
      </c>
      <c r="AP124" s="17" t="n">
        <v>2009</v>
      </c>
      <c r="AQ124" s="17" t="n">
        <v>2024</v>
      </c>
      <c r="AR124" s="17" t="n">
        <v>5</v>
      </c>
      <c r="AS124" s="17" t="n">
        <v>2024</v>
      </c>
      <c r="AT124" s="17" t="n">
        <v>2022</v>
      </c>
      <c r="AU124" s="21" t="n">
        <v>2003</v>
      </c>
      <c r="AV124" s="17" t="n">
        <v>2025</v>
      </c>
      <c r="AW124" s="19" t="s">
        <v>690</v>
      </c>
      <c r="AX124" s="20"/>
      <c r="AY124" s="20"/>
      <c r="AZ124" s="20" t="n">
        <v>0</v>
      </c>
      <c r="BA124" s="19"/>
    </row>
    <row r="125" customFormat="false" ht="15" hidden="false" customHeight="true" outlineLevel="0" collapsed="false">
      <c r="A125" s="17" t="s">
        <v>691</v>
      </c>
      <c r="B125" s="17" t="s">
        <v>691</v>
      </c>
      <c r="C125" s="17" t="n">
        <v>317</v>
      </c>
      <c r="D125" s="17" t="n">
        <v>317</v>
      </c>
      <c r="E125" s="17" t="s">
        <v>394</v>
      </c>
      <c r="F125" s="17" t="n">
        <v>47</v>
      </c>
      <c r="G125" s="17" t="s">
        <v>395</v>
      </c>
      <c r="H125" s="17" t="n">
        <v>1994</v>
      </c>
      <c r="I125" s="17" t="n">
        <v>5347</v>
      </c>
      <c r="J125" s="18" t="n">
        <f aca="false">IFERROR(F125/I125*100,"n/a")</f>
        <v>0.878997568730129</v>
      </c>
      <c r="K125" s="17" t="n">
        <v>18</v>
      </c>
      <c r="L125" s="17" t="n">
        <v>2022</v>
      </c>
      <c r="M125" s="17" t="n">
        <v>5473</v>
      </c>
      <c r="N125" s="18" t="n">
        <f aca="false">IFERROR(K125/M125*100,"n/a")</f>
        <v>0.328887264754248</v>
      </c>
      <c r="O125" s="17" t="n">
        <v>17</v>
      </c>
      <c r="P125" s="17" t="n">
        <v>0</v>
      </c>
      <c r="Q125" s="21" t="s">
        <v>9</v>
      </c>
      <c r="R125" s="17" t="n">
        <v>0</v>
      </c>
      <c r="S125" s="17" t="n">
        <v>0</v>
      </c>
      <c r="T125" s="17" t="n">
        <v>0</v>
      </c>
      <c r="U125" s="17" t="n">
        <v>0</v>
      </c>
      <c r="V125" s="17" t="n">
        <v>0</v>
      </c>
      <c r="W125" s="21" t="s">
        <v>9</v>
      </c>
      <c r="X125" s="21" t="s">
        <v>9</v>
      </c>
      <c r="Y125" s="21" t="s">
        <v>9</v>
      </c>
      <c r="Z125" s="17" t="n">
        <v>0</v>
      </c>
      <c r="AA125" s="17" t="n">
        <v>0</v>
      </c>
      <c r="AB125" s="17" t="n">
        <v>0</v>
      </c>
      <c r="AC125" s="17" t="n">
        <v>0</v>
      </c>
      <c r="AD125" s="17" t="n">
        <v>0</v>
      </c>
      <c r="AE125" s="17" t="n">
        <v>0</v>
      </c>
      <c r="AF125" s="17" t="n">
        <v>0</v>
      </c>
      <c r="AG125" s="17" t="n">
        <v>0</v>
      </c>
      <c r="AH125" s="17" t="n">
        <v>0</v>
      </c>
      <c r="AI125" s="17" t="n">
        <v>0</v>
      </c>
      <c r="AJ125" s="18" t="str">
        <f aca="false">IF(S125=0,"n/a",IFERROR(AE125/S125,"n/a"))</f>
        <v>n/a</v>
      </c>
      <c r="AK125" s="17" t="s">
        <v>373</v>
      </c>
      <c r="AL125" s="17"/>
      <c r="AM125" s="17" t="s">
        <v>378</v>
      </c>
      <c r="AN125" s="17" t="n">
        <v>3</v>
      </c>
      <c r="AO125" s="17" t="n">
        <v>12</v>
      </c>
      <c r="AP125" s="17" t="n">
        <v>2003</v>
      </c>
      <c r="AQ125" s="17" t="n">
        <v>2014</v>
      </c>
      <c r="AR125" s="17" t="n">
        <v>11</v>
      </c>
      <c r="AS125" s="17" t="n">
        <v>2024</v>
      </c>
      <c r="AT125" s="17" t="n">
        <v>2022</v>
      </c>
      <c r="AU125" s="21" t="n">
        <v>2003</v>
      </c>
      <c r="AV125" s="17" t="n">
        <v>2025</v>
      </c>
      <c r="AW125" s="19" t="s">
        <v>692</v>
      </c>
      <c r="AX125" s="20"/>
      <c r="AY125" s="20"/>
      <c r="AZ125" s="20" t="n">
        <v>0</v>
      </c>
      <c r="BA125" s="19"/>
    </row>
    <row r="126" customFormat="false" ht="15" hidden="false" customHeight="true" outlineLevel="0" collapsed="false">
      <c r="A126" s="17" t="s">
        <v>693</v>
      </c>
      <c r="B126" s="17" t="s">
        <v>693</v>
      </c>
      <c r="C126" s="17" t="n">
        <v>349</v>
      </c>
      <c r="D126" s="17" t="n">
        <v>349</v>
      </c>
      <c r="E126" s="17" t="s">
        <v>394</v>
      </c>
      <c r="F126" s="17" t="n">
        <v>17</v>
      </c>
      <c r="G126" s="17" t="s">
        <v>395</v>
      </c>
      <c r="H126" s="17" t="n">
        <v>1994</v>
      </c>
      <c r="I126" s="17" t="n">
        <v>1989</v>
      </c>
      <c r="J126" s="18" t="n">
        <f aca="false">IFERROR(F126/I126*100,"n/a")</f>
        <v>0.854700854700855</v>
      </c>
      <c r="K126" s="17" t="n">
        <v>6</v>
      </c>
      <c r="L126" s="17" t="n">
        <v>2022</v>
      </c>
      <c r="M126" s="17" t="n">
        <v>2115</v>
      </c>
      <c r="N126" s="18" t="n">
        <f aca="false">IFERROR(K126/M126*100,"n/a")</f>
        <v>0.283687943262411</v>
      </c>
      <c r="O126" s="17" t="n">
        <v>6</v>
      </c>
      <c r="P126" s="17" t="n">
        <v>0</v>
      </c>
      <c r="Q126" s="21" t="s">
        <v>9</v>
      </c>
      <c r="R126" s="17" t="n">
        <v>0</v>
      </c>
      <c r="S126" s="17" t="n">
        <v>0</v>
      </c>
      <c r="T126" s="17" t="n">
        <v>0</v>
      </c>
      <c r="U126" s="17" t="n">
        <v>0</v>
      </c>
      <c r="V126" s="17" t="n">
        <v>0</v>
      </c>
      <c r="W126" s="21" t="s">
        <v>9</v>
      </c>
      <c r="X126" s="21" t="s">
        <v>9</v>
      </c>
      <c r="Y126" s="21" t="s">
        <v>9</v>
      </c>
      <c r="Z126" s="17" t="n">
        <v>0</v>
      </c>
      <c r="AA126" s="17" t="n">
        <v>0</v>
      </c>
      <c r="AB126" s="17" t="n">
        <v>0</v>
      </c>
      <c r="AC126" s="17" t="n">
        <v>0</v>
      </c>
      <c r="AD126" s="17" t="n">
        <v>0</v>
      </c>
      <c r="AE126" s="17" t="n">
        <v>0</v>
      </c>
      <c r="AF126" s="17" t="n">
        <v>0</v>
      </c>
      <c r="AG126" s="17" t="n">
        <v>0</v>
      </c>
      <c r="AH126" s="17" t="n">
        <v>0</v>
      </c>
      <c r="AI126" s="17" t="n">
        <v>0</v>
      </c>
      <c r="AJ126" s="18" t="str">
        <f aca="false">IF(S126=0,"n/a",IFERROR(AE126/S126,"n/a"))</f>
        <v>n/a</v>
      </c>
      <c r="AK126" s="17" t="s">
        <v>373</v>
      </c>
      <c r="AL126" s="17"/>
      <c r="AM126" s="17" t="s">
        <v>378</v>
      </c>
      <c r="AN126" s="17" t="n">
        <v>1</v>
      </c>
      <c r="AO126" s="17" t="n">
        <v>9</v>
      </c>
      <c r="AP126" s="17" t="n">
        <v>2006</v>
      </c>
      <c r="AQ126" s="17" t="n">
        <v>2014</v>
      </c>
      <c r="AR126" s="17" t="n">
        <v>9</v>
      </c>
      <c r="AS126" s="17" t="n">
        <v>2024</v>
      </c>
      <c r="AT126" s="17" t="n">
        <v>2022</v>
      </c>
      <c r="AU126" s="21" t="n">
        <v>2003</v>
      </c>
      <c r="AV126" s="17" t="n">
        <v>2025</v>
      </c>
      <c r="AW126" s="19" t="s">
        <v>694</v>
      </c>
      <c r="AX126" s="20"/>
      <c r="AY126" s="20"/>
      <c r="AZ126" s="20" t="n">
        <v>0</v>
      </c>
      <c r="BA126" s="19"/>
    </row>
    <row r="127" customFormat="false" ht="15" hidden="false" customHeight="true" outlineLevel="0" collapsed="false">
      <c r="A127" s="17" t="s">
        <v>695</v>
      </c>
      <c r="B127" s="17" t="s">
        <v>695</v>
      </c>
      <c r="C127" s="17" t="n">
        <v>520</v>
      </c>
      <c r="D127" s="17" t="n">
        <v>520</v>
      </c>
      <c r="E127" s="17" t="s">
        <v>371</v>
      </c>
      <c r="F127" s="17" t="n">
        <v>54</v>
      </c>
      <c r="G127" s="17" t="s">
        <v>372</v>
      </c>
      <c r="H127" s="17" t="n">
        <v>1978</v>
      </c>
      <c r="I127" s="17" t="n">
        <v>6185</v>
      </c>
      <c r="J127" s="18" t="n">
        <f aca="false">IFERROR(F127/I127*100,"n/a")</f>
        <v>0.873080032336298</v>
      </c>
      <c r="K127" s="17" t="n">
        <v>14</v>
      </c>
      <c r="L127" s="17" t="n">
        <v>2022</v>
      </c>
      <c r="M127" s="17" t="n">
        <v>17802</v>
      </c>
      <c r="N127" s="18" t="n">
        <f aca="false">IFERROR(K127/M127*100,"n/a")</f>
        <v>0.0786428491180766</v>
      </c>
      <c r="O127" s="17" t="n">
        <v>20</v>
      </c>
      <c r="P127" s="17" t="n">
        <v>8000</v>
      </c>
      <c r="Q127" s="17" t="n">
        <v>1978</v>
      </c>
      <c r="R127" s="17" t="n">
        <v>5</v>
      </c>
      <c r="S127" s="17" t="n">
        <v>39</v>
      </c>
      <c r="T127" s="17" t="n">
        <v>23</v>
      </c>
      <c r="U127" s="17" t="n">
        <v>21</v>
      </c>
      <c r="V127" s="17" t="n">
        <v>19</v>
      </c>
      <c r="W127" s="17" t="n">
        <v>1964</v>
      </c>
      <c r="X127" s="17" t="n">
        <v>2024</v>
      </c>
      <c r="Y127" s="17" t="n">
        <v>0</v>
      </c>
      <c r="Z127" s="17" t="n">
        <v>4</v>
      </c>
      <c r="AA127" s="17" t="n">
        <v>4</v>
      </c>
      <c r="AB127" s="17" t="n">
        <v>19</v>
      </c>
      <c r="AC127" s="17" t="n">
        <v>18</v>
      </c>
      <c r="AD127" s="17" t="n">
        <v>0</v>
      </c>
      <c r="AE127" s="17" t="n">
        <v>0</v>
      </c>
      <c r="AF127" s="17" t="n">
        <v>35</v>
      </c>
      <c r="AG127" s="17" t="n">
        <v>35</v>
      </c>
      <c r="AH127" s="17" t="n">
        <v>0</v>
      </c>
      <c r="AI127" s="17" t="n">
        <v>4</v>
      </c>
      <c r="AJ127" s="18" t="n">
        <f aca="false">IF(S127=0,"n/a",IFERROR(AE127/S127,"n/a"))</f>
        <v>0</v>
      </c>
      <c r="AK127" s="17" t="s">
        <v>382</v>
      </c>
      <c r="AL127" s="17"/>
      <c r="AM127" s="17" t="s">
        <v>696</v>
      </c>
      <c r="AN127" s="17" t="n">
        <v>1</v>
      </c>
      <c r="AO127" s="17" t="n">
        <v>1</v>
      </c>
      <c r="AP127" s="17" t="n">
        <v>1977</v>
      </c>
      <c r="AQ127" s="17" t="n">
        <v>1977</v>
      </c>
      <c r="AR127" s="17" t="n">
        <v>1</v>
      </c>
      <c r="AS127" s="17" t="n">
        <v>2024</v>
      </c>
      <c r="AT127" s="17" t="n">
        <v>2022</v>
      </c>
      <c r="AU127" s="17" t="n">
        <v>2003</v>
      </c>
      <c r="AV127" s="17" t="n">
        <v>2025</v>
      </c>
      <c r="AW127" s="19" t="s">
        <v>697</v>
      </c>
      <c r="AX127" s="20"/>
      <c r="AY127" s="20" t="s">
        <v>385</v>
      </c>
      <c r="AZ127" s="20" t="n">
        <v>4</v>
      </c>
      <c r="BA127" s="19" t="s">
        <v>436</v>
      </c>
    </row>
    <row r="128" customFormat="false" ht="15" hidden="false" customHeight="true" outlineLevel="0" collapsed="false">
      <c r="A128" s="17" t="s">
        <v>698</v>
      </c>
      <c r="B128" s="17" t="s">
        <v>698</v>
      </c>
      <c r="C128" s="17" t="n">
        <v>560</v>
      </c>
      <c r="D128" s="17" t="n">
        <v>560</v>
      </c>
      <c r="E128" s="17" t="s">
        <v>371</v>
      </c>
      <c r="F128" s="17" t="n">
        <v>102</v>
      </c>
      <c r="G128" s="17" t="s">
        <v>372</v>
      </c>
      <c r="H128" s="17" t="n">
        <v>1987</v>
      </c>
      <c r="I128" s="17" t="n">
        <v>34626</v>
      </c>
      <c r="J128" s="18" t="n">
        <f aca="false">IFERROR(F128/I128*100,"n/a")</f>
        <v>0.29457632992549</v>
      </c>
      <c r="K128" s="17" t="n">
        <v>74</v>
      </c>
      <c r="L128" s="17" t="n">
        <v>2022</v>
      </c>
      <c r="M128" s="17" t="n">
        <v>62378</v>
      </c>
      <c r="N128" s="18" t="n">
        <f aca="false">IFERROR(K128/M128*100,"n/a")</f>
        <v>0.118631568822341</v>
      </c>
      <c r="O128" s="17" t="n">
        <v>70</v>
      </c>
      <c r="P128" s="17" t="n">
        <v>100</v>
      </c>
      <c r="Q128" s="17" t="n">
        <v>1976</v>
      </c>
      <c r="R128" s="17" t="n">
        <v>2</v>
      </c>
      <c r="S128" s="17" t="n">
        <v>24</v>
      </c>
      <c r="T128" s="17" t="n">
        <v>8</v>
      </c>
      <c r="U128" s="17" t="n">
        <v>22</v>
      </c>
      <c r="V128" s="17" t="n">
        <v>24</v>
      </c>
      <c r="W128" s="17" t="n">
        <v>1966</v>
      </c>
      <c r="X128" s="17" t="n">
        <v>1989</v>
      </c>
      <c r="Y128" s="17" t="n">
        <v>35</v>
      </c>
      <c r="Z128" s="17" t="n">
        <v>0</v>
      </c>
      <c r="AA128" s="17" t="n">
        <v>0</v>
      </c>
      <c r="AB128" s="17" t="n">
        <v>0</v>
      </c>
      <c r="AC128" s="17" t="n">
        <v>24</v>
      </c>
      <c r="AD128" s="17" t="n">
        <v>0</v>
      </c>
      <c r="AE128" s="17" t="n">
        <v>0</v>
      </c>
      <c r="AF128" s="17" t="n">
        <v>24</v>
      </c>
      <c r="AG128" s="17" t="n">
        <v>24</v>
      </c>
      <c r="AH128" s="17" t="n">
        <v>0</v>
      </c>
      <c r="AI128" s="17" t="n">
        <v>0</v>
      </c>
      <c r="AJ128" s="18" t="n">
        <f aca="false">IF(S128=0,"n/a",IFERROR(AE128/S128,"n/a"))</f>
        <v>0</v>
      </c>
      <c r="AK128" s="17" t="s">
        <v>373</v>
      </c>
      <c r="AL128" s="17" t="n">
        <v>24</v>
      </c>
      <c r="AM128" s="17" t="s">
        <v>415</v>
      </c>
      <c r="AN128" s="17" t="n">
        <v>11</v>
      </c>
      <c r="AO128" s="17" t="n">
        <v>26</v>
      </c>
      <c r="AP128" s="17" t="n">
        <v>1950</v>
      </c>
      <c r="AQ128" s="17" t="n">
        <v>2024</v>
      </c>
      <c r="AR128" s="17" t="n">
        <v>17</v>
      </c>
      <c r="AS128" s="17" t="n">
        <v>2024</v>
      </c>
      <c r="AT128" s="17" t="n">
        <v>2022</v>
      </c>
      <c r="AU128" s="17" t="n">
        <v>2003</v>
      </c>
      <c r="AV128" s="17" t="n">
        <v>2025</v>
      </c>
      <c r="AW128" s="19" t="s">
        <v>699</v>
      </c>
      <c r="AX128" s="20"/>
      <c r="AY128" s="20" t="s">
        <v>472</v>
      </c>
      <c r="AZ128" s="20" t="n">
        <v>0</v>
      </c>
      <c r="BA128" s="19" t="s">
        <v>389</v>
      </c>
    </row>
    <row r="129" customFormat="false" ht="15" hidden="false" customHeight="true" outlineLevel="0" collapsed="false">
      <c r="A129" s="17" t="s">
        <v>700</v>
      </c>
      <c r="B129" s="17" t="s">
        <v>701</v>
      </c>
      <c r="C129" s="17" t="n">
        <v>732</v>
      </c>
      <c r="D129" s="17" t="n">
        <v>732</v>
      </c>
      <c r="E129" s="17" t="s">
        <v>371</v>
      </c>
      <c r="F129" s="17" t="n">
        <v>504</v>
      </c>
      <c r="G129" s="17" t="s">
        <v>372</v>
      </c>
      <c r="H129" s="17" t="n">
        <v>1953</v>
      </c>
      <c r="I129" s="17" t="n">
        <v>20523</v>
      </c>
      <c r="J129" s="18" t="n">
        <f aca="false">IFERROR(F129/I129*100,"n/a")</f>
        <v>2.45578131852068</v>
      </c>
      <c r="K129" s="17" t="n">
        <v>555</v>
      </c>
      <c r="L129" s="17" t="n">
        <v>2022</v>
      </c>
      <c r="M129" s="17" t="n">
        <v>51783</v>
      </c>
      <c r="N129" s="18" t="n">
        <f aca="false">IFERROR(K129/M129*100,"n/a")</f>
        <v>1.07178031400267</v>
      </c>
      <c r="O129" s="17" t="n">
        <v>500</v>
      </c>
      <c r="P129" s="17" t="n">
        <v>117935</v>
      </c>
      <c r="Q129" s="17" t="n">
        <v>1973</v>
      </c>
      <c r="R129" s="17" t="n">
        <v>1</v>
      </c>
      <c r="S129" s="17" t="n">
        <v>5</v>
      </c>
      <c r="T129" s="17" t="n">
        <v>4</v>
      </c>
      <c r="U129" s="17" t="n">
        <v>1</v>
      </c>
      <c r="V129" s="17" t="n">
        <v>5</v>
      </c>
      <c r="W129" s="17" t="n">
        <v>1949</v>
      </c>
      <c r="X129" s="17" t="n">
        <v>1953</v>
      </c>
      <c r="Y129" s="17" t="n">
        <v>71</v>
      </c>
      <c r="Z129" s="17" t="n">
        <v>5</v>
      </c>
      <c r="AA129" s="17" t="n">
        <v>5</v>
      </c>
      <c r="AB129" s="17" t="n">
        <v>0</v>
      </c>
      <c r="AC129" s="17" t="n">
        <v>0</v>
      </c>
      <c r="AD129" s="17" t="n">
        <v>0</v>
      </c>
      <c r="AE129" s="17" t="n">
        <v>5</v>
      </c>
      <c r="AF129" s="17" t="n">
        <v>0</v>
      </c>
      <c r="AG129" s="17" t="n">
        <v>5</v>
      </c>
      <c r="AH129" s="17" t="n">
        <v>0</v>
      </c>
      <c r="AI129" s="17" t="n">
        <v>0</v>
      </c>
      <c r="AJ129" s="18" t="n">
        <f aca="false">IF(S129=0,"n/a",IFERROR(AE129/S129,"n/a"))</f>
        <v>1</v>
      </c>
      <c r="AK129" s="17" t="s">
        <v>382</v>
      </c>
      <c r="AL129" s="17" t="n">
        <v>19.5</v>
      </c>
      <c r="AM129" s="17" t="s">
        <v>702</v>
      </c>
      <c r="AN129" s="17" t="n">
        <v>3</v>
      </c>
      <c r="AO129" s="17" t="n">
        <v>19</v>
      </c>
      <c r="AP129" s="17" t="n">
        <v>1965</v>
      </c>
      <c r="AQ129" s="17" t="n">
        <v>2014</v>
      </c>
      <c r="AR129" s="17" t="n">
        <v>19</v>
      </c>
      <c r="AS129" s="17" t="n">
        <v>2024</v>
      </c>
      <c r="AT129" s="17" t="n">
        <v>2022</v>
      </c>
      <c r="AU129" s="17" t="n">
        <v>2003</v>
      </c>
      <c r="AV129" s="17" t="n">
        <v>2025</v>
      </c>
      <c r="AW129" s="19" t="s">
        <v>703</v>
      </c>
      <c r="AX129" s="20"/>
      <c r="AY129" s="20"/>
      <c r="AZ129" s="20" t="n">
        <v>0</v>
      </c>
      <c r="BA129" s="19" t="s">
        <v>380</v>
      </c>
    </row>
    <row r="130" customFormat="false" ht="15" hidden="false" customHeight="true" outlineLevel="0" collapsed="false">
      <c r="A130" s="17" t="s">
        <v>704</v>
      </c>
      <c r="B130" s="17" t="s">
        <v>704</v>
      </c>
      <c r="C130" s="17" t="n">
        <v>626</v>
      </c>
      <c r="D130" s="17" t="n">
        <v>626</v>
      </c>
      <c r="E130" s="17" t="s">
        <v>371</v>
      </c>
      <c r="F130" s="17" t="n">
        <v>210</v>
      </c>
      <c r="G130" s="17" t="s">
        <v>372</v>
      </c>
      <c r="H130" s="17" t="n">
        <v>2013</v>
      </c>
      <c r="I130" s="17" t="n">
        <v>11177</v>
      </c>
      <c r="J130" s="18" t="n">
        <f aca="false">IFERROR(F130/I130*100,"n/a")</f>
        <v>1.87885836986669</v>
      </c>
      <c r="K130" s="17" t="n">
        <v>53</v>
      </c>
      <c r="L130" s="17" t="n">
        <v>2022</v>
      </c>
      <c r="M130" s="17" t="n">
        <v>11021</v>
      </c>
      <c r="N130" s="18" t="n">
        <f aca="false">IFERROR(K130/M130*100,"n/a")</f>
        <v>0.480900099809455</v>
      </c>
      <c r="O130" s="17" t="n">
        <v>200</v>
      </c>
      <c r="P130" s="21" t="s">
        <v>9</v>
      </c>
      <c r="Q130" s="21" t="s">
        <v>9</v>
      </c>
      <c r="R130" s="17" t="n">
        <v>2</v>
      </c>
      <c r="S130" s="17" t="n">
        <v>11</v>
      </c>
      <c r="T130" s="17" t="n">
        <v>1</v>
      </c>
      <c r="U130" s="17" t="n">
        <v>10</v>
      </c>
      <c r="V130" s="17" t="n">
        <v>11</v>
      </c>
      <c r="W130" s="17" t="n">
        <v>2011</v>
      </c>
      <c r="X130" s="17" t="n">
        <v>2021</v>
      </c>
      <c r="Y130" s="17" t="n">
        <v>3</v>
      </c>
      <c r="Z130" s="17" t="n">
        <v>1</v>
      </c>
      <c r="AA130" s="17" t="n">
        <v>1</v>
      </c>
      <c r="AB130" s="17" t="n">
        <v>2</v>
      </c>
      <c r="AC130" s="17" t="n">
        <v>9</v>
      </c>
      <c r="AD130" s="17" t="n">
        <v>0</v>
      </c>
      <c r="AE130" s="17" t="n">
        <v>1</v>
      </c>
      <c r="AF130" s="17" t="n">
        <v>11</v>
      </c>
      <c r="AG130" s="17" t="n">
        <v>11</v>
      </c>
      <c r="AH130" s="17" t="n">
        <v>0</v>
      </c>
      <c r="AI130" s="17" t="n">
        <v>0</v>
      </c>
      <c r="AJ130" s="18" t="n">
        <f aca="false">IF(S130=0,"n/a",IFERROR(AE130/S130,"n/a"))</f>
        <v>0.0909090909090909</v>
      </c>
      <c r="AK130" s="17" t="s">
        <v>373</v>
      </c>
      <c r="AL130" s="17" t="n">
        <v>18</v>
      </c>
      <c r="AM130" s="17" t="s">
        <v>399</v>
      </c>
      <c r="AN130" s="17" t="n">
        <v>4</v>
      </c>
      <c r="AO130" s="17" t="n">
        <v>5</v>
      </c>
      <c r="AP130" s="17" t="n">
        <v>2011</v>
      </c>
      <c r="AQ130" s="17" t="n">
        <v>2023</v>
      </c>
      <c r="AR130" s="17" t="n">
        <v>1</v>
      </c>
      <c r="AS130" s="17" t="n">
        <v>2024</v>
      </c>
      <c r="AT130" s="17" t="n">
        <v>2022</v>
      </c>
      <c r="AU130" s="21" t="n">
        <v>2003</v>
      </c>
      <c r="AV130" s="17" t="n">
        <v>2025</v>
      </c>
      <c r="AW130" s="19" t="s">
        <v>705</v>
      </c>
      <c r="AX130" s="20"/>
      <c r="AY130" s="20" t="s">
        <v>472</v>
      </c>
      <c r="AZ130" s="20" t="n">
        <v>0</v>
      </c>
      <c r="BA130" s="19" t="s">
        <v>376</v>
      </c>
    </row>
    <row r="131" customFormat="false" ht="15" hidden="false" customHeight="true" outlineLevel="0" collapsed="false">
      <c r="A131" s="17" t="s">
        <v>706</v>
      </c>
      <c r="B131" s="17" t="s">
        <v>707</v>
      </c>
      <c r="C131" s="17" t="n">
        <v>817</v>
      </c>
      <c r="D131" s="17" t="n">
        <v>817</v>
      </c>
      <c r="E131" s="17" t="s">
        <v>371</v>
      </c>
      <c r="F131" s="17" t="n">
        <v>1100</v>
      </c>
      <c r="G131" s="17" t="s">
        <v>372</v>
      </c>
      <c r="H131" s="17" t="n">
        <v>1972</v>
      </c>
      <c r="I131" s="17" t="n">
        <v>19086</v>
      </c>
      <c r="J131" s="18" t="n">
        <f aca="false">IFERROR(F131/I131*100,"n/a")</f>
        <v>5.76338677564707</v>
      </c>
      <c r="K131" s="17" t="n">
        <v>570</v>
      </c>
      <c r="L131" s="17" t="n">
        <v>1975</v>
      </c>
      <c r="M131" s="17" t="n">
        <v>19941</v>
      </c>
      <c r="N131" s="18" t="n">
        <f aca="false">IFERROR(K131/M131*100,"n/a")</f>
        <v>2.85843237550775</v>
      </c>
      <c r="O131" s="17"/>
      <c r="P131" s="17" t="n">
        <v>255257</v>
      </c>
      <c r="Q131" s="17" t="n">
        <v>1975</v>
      </c>
      <c r="R131" s="17" t="n">
        <v>2</v>
      </c>
      <c r="S131" s="17" t="n">
        <v>21</v>
      </c>
      <c r="T131" s="17" t="n">
        <v>21</v>
      </c>
      <c r="U131" s="17" t="n">
        <v>0</v>
      </c>
      <c r="V131" s="17" t="n">
        <v>21</v>
      </c>
      <c r="W131" s="17" t="n">
        <v>1955</v>
      </c>
      <c r="X131" s="17" t="n">
        <v>1975</v>
      </c>
      <c r="Y131" s="17" t="n">
        <v>49</v>
      </c>
      <c r="Z131" s="17" t="n">
        <v>11</v>
      </c>
      <c r="AA131" s="17" t="n">
        <v>11</v>
      </c>
      <c r="AB131" s="17" t="n">
        <v>3</v>
      </c>
      <c r="AC131" s="17" t="n">
        <v>7</v>
      </c>
      <c r="AD131" s="17" t="n">
        <v>0</v>
      </c>
      <c r="AE131" s="17" t="n">
        <v>11</v>
      </c>
      <c r="AF131" s="17" t="n">
        <v>10</v>
      </c>
      <c r="AG131" s="17" t="n">
        <v>21</v>
      </c>
      <c r="AH131" s="17" t="n">
        <v>0</v>
      </c>
      <c r="AI131" s="17" t="n">
        <v>0</v>
      </c>
      <c r="AJ131" s="18" t="n">
        <f aca="false">IF(S131=0,"n/a",IFERROR(AE131/S131,"n/a"))</f>
        <v>0.523809523809524</v>
      </c>
      <c r="AK131" s="17"/>
      <c r="AL131" s="17"/>
      <c r="AM131" s="17"/>
      <c r="AN131" s="17" t="n">
        <v>2</v>
      </c>
      <c r="AO131" s="17" t="n">
        <v>11</v>
      </c>
      <c r="AP131" s="17" t="n">
        <v>1963</v>
      </c>
      <c r="AQ131" s="17" t="n">
        <v>1973</v>
      </c>
      <c r="AR131" s="17" t="n">
        <v>11</v>
      </c>
      <c r="AS131" s="17" t="n">
        <v>2024</v>
      </c>
      <c r="AT131" s="17" t="n">
        <v>1975</v>
      </c>
      <c r="AU131" s="17" t="n">
        <v>2003</v>
      </c>
      <c r="AV131" s="17"/>
      <c r="AW131" s="19"/>
      <c r="AX131" s="20" t="s">
        <v>708</v>
      </c>
      <c r="AY131" s="20" t="s">
        <v>480</v>
      </c>
      <c r="AZ131" s="20" t="n">
        <v>0</v>
      </c>
      <c r="BA131" s="19" t="s">
        <v>376</v>
      </c>
    </row>
    <row r="132" customFormat="false" ht="15" hidden="false" customHeight="true" outlineLevel="0" collapsed="false">
      <c r="A132" s="17" t="s">
        <v>709</v>
      </c>
      <c r="B132" s="17" t="s">
        <v>710</v>
      </c>
      <c r="C132" s="17" t="n">
        <v>680</v>
      </c>
      <c r="D132" s="17" t="n">
        <v>680</v>
      </c>
      <c r="E132" s="17" t="s">
        <v>371</v>
      </c>
      <c r="F132" s="17" t="n">
        <v>34</v>
      </c>
      <c r="G132" s="17" t="s">
        <v>372</v>
      </c>
      <c r="H132" s="17" t="n">
        <v>1986</v>
      </c>
      <c r="I132" s="17" t="n">
        <v>2220</v>
      </c>
      <c r="J132" s="18" t="n">
        <f aca="false">IFERROR(F132/I132*100,"n/a")</f>
        <v>1.53153153153153</v>
      </c>
      <c r="K132" s="17" t="n">
        <v>88</v>
      </c>
      <c r="L132" s="17" t="n">
        <v>1989</v>
      </c>
      <c r="M132" s="17" t="n">
        <v>2398</v>
      </c>
      <c r="N132" s="18" t="n">
        <f aca="false">IFERROR(K132/M132*100,"n/a")</f>
        <v>3.6697247706422</v>
      </c>
      <c r="O132" s="17"/>
      <c r="P132" s="17" t="n">
        <v>0</v>
      </c>
      <c r="Q132" s="21" t="s">
        <v>9</v>
      </c>
      <c r="R132" s="17" t="n">
        <v>2</v>
      </c>
      <c r="S132" s="17" t="n">
        <v>3</v>
      </c>
      <c r="T132" s="17" t="n">
        <v>1</v>
      </c>
      <c r="U132" s="17" t="n">
        <v>2</v>
      </c>
      <c r="V132" s="17" t="n">
        <v>1</v>
      </c>
      <c r="W132" s="17" t="n">
        <v>1972</v>
      </c>
      <c r="X132" s="17" t="n">
        <v>1986</v>
      </c>
      <c r="Y132" s="17" t="n">
        <v>38</v>
      </c>
      <c r="Z132" s="17" t="n">
        <v>2</v>
      </c>
      <c r="AA132" s="17" t="n">
        <v>2</v>
      </c>
      <c r="AB132" s="17" t="n">
        <v>0</v>
      </c>
      <c r="AC132" s="17" t="n">
        <v>1</v>
      </c>
      <c r="AD132" s="17" t="n">
        <v>0</v>
      </c>
      <c r="AE132" s="17" t="n">
        <v>2</v>
      </c>
      <c r="AF132" s="17" t="n">
        <v>1</v>
      </c>
      <c r="AG132" s="17" t="n">
        <v>3</v>
      </c>
      <c r="AH132" s="17" t="n">
        <v>0</v>
      </c>
      <c r="AI132" s="17" t="n">
        <v>0</v>
      </c>
      <c r="AJ132" s="18" t="n">
        <f aca="false">IF(S132=0,"n/a",IFERROR(AE132/S132,"n/a"))</f>
        <v>0.666666666666667</v>
      </c>
      <c r="AK132" s="17"/>
      <c r="AL132" s="17"/>
      <c r="AM132" s="17"/>
      <c r="AN132" s="17" t="n">
        <v>4</v>
      </c>
      <c r="AO132" s="17" t="n">
        <v>5</v>
      </c>
      <c r="AP132" s="17" t="n">
        <v>1973</v>
      </c>
      <c r="AQ132" s="17" t="n">
        <v>1978</v>
      </c>
      <c r="AR132" s="17" t="n">
        <v>2</v>
      </c>
      <c r="AS132" s="17" t="n">
        <v>2024</v>
      </c>
      <c r="AT132" s="17" t="n">
        <v>1989</v>
      </c>
      <c r="AU132" s="21" t="n">
        <v>2003</v>
      </c>
      <c r="AV132" s="17"/>
      <c r="AW132" s="19"/>
      <c r="AX132" s="20" t="s">
        <v>711</v>
      </c>
      <c r="AY132" s="20" t="s">
        <v>480</v>
      </c>
      <c r="AZ132" s="20" t="n">
        <v>0</v>
      </c>
      <c r="BA132" s="19" t="s">
        <v>376</v>
      </c>
    </row>
    <row r="133" customFormat="false" ht="15" hidden="false" customHeight="true" outlineLevel="0" collapsed="false">
      <c r="A133" s="17" t="s">
        <v>712</v>
      </c>
      <c r="B133" s="17" t="s">
        <v>712</v>
      </c>
      <c r="C133" s="17" t="n">
        <v>230</v>
      </c>
      <c r="D133" s="17" t="n">
        <v>230</v>
      </c>
      <c r="E133" s="17" t="s">
        <v>371</v>
      </c>
      <c r="F133" s="17" t="n">
        <v>451</v>
      </c>
      <c r="G133" s="17" t="s">
        <v>372</v>
      </c>
      <c r="H133" s="17" t="n">
        <v>1957</v>
      </c>
      <c r="I133" s="17" t="n">
        <v>29693</v>
      </c>
      <c r="J133" s="18" t="n">
        <f aca="false">IFERROR(F133/I133*100,"n/a")</f>
        <v>1.51887650287947</v>
      </c>
      <c r="K133" s="17" t="n">
        <v>124</v>
      </c>
      <c r="L133" s="17" t="n">
        <v>2022</v>
      </c>
      <c r="M133" s="17" t="n">
        <v>47828</v>
      </c>
      <c r="N133" s="18" t="n">
        <f aca="false">IFERROR(K133/M133*100,"n/a")</f>
        <v>0.259262356778456</v>
      </c>
      <c r="O133" s="17" t="n">
        <v>120</v>
      </c>
      <c r="P133" s="17" t="n">
        <v>122</v>
      </c>
      <c r="Q133" s="17" t="n">
        <v>1958</v>
      </c>
      <c r="R133" s="17" t="n">
        <v>2</v>
      </c>
      <c r="S133" s="17" t="n">
        <v>11</v>
      </c>
      <c r="T133" s="17" t="n">
        <v>0</v>
      </c>
      <c r="U133" s="17" t="n">
        <v>11</v>
      </c>
      <c r="V133" s="17" t="n">
        <v>5</v>
      </c>
      <c r="W133" s="17" t="n">
        <v>1957</v>
      </c>
      <c r="X133" s="17" t="n">
        <v>1991</v>
      </c>
      <c r="Y133" s="17" t="n">
        <v>33</v>
      </c>
      <c r="Z133" s="17" t="n">
        <v>0</v>
      </c>
      <c r="AA133" s="17" t="n">
        <v>0</v>
      </c>
      <c r="AB133" s="17" t="n">
        <v>0</v>
      </c>
      <c r="AC133" s="17" t="n">
        <v>9</v>
      </c>
      <c r="AD133" s="17" t="n">
        <v>2</v>
      </c>
      <c r="AE133" s="17" t="n">
        <v>0</v>
      </c>
      <c r="AF133" s="17" t="n">
        <v>9</v>
      </c>
      <c r="AG133" s="17" t="n">
        <v>9</v>
      </c>
      <c r="AH133" s="17" t="n">
        <v>0</v>
      </c>
      <c r="AI133" s="17" t="n">
        <v>2</v>
      </c>
      <c r="AJ133" s="18" t="n">
        <f aca="false">IF(S133=0,"n/a",IFERROR(AE133/S133,"n/a"))</f>
        <v>0</v>
      </c>
      <c r="AK133" s="17" t="s">
        <v>373</v>
      </c>
      <c r="AL133" s="17" t="n">
        <v>30</v>
      </c>
      <c r="AM133" s="17" t="s">
        <v>378</v>
      </c>
      <c r="AN133" s="17" t="n">
        <v>10</v>
      </c>
      <c r="AO133" s="17" t="n">
        <v>25</v>
      </c>
      <c r="AP133" s="17" t="n">
        <v>1957</v>
      </c>
      <c r="AQ133" s="17" t="n">
        <v>2024</v>
      </c>
      <c r="AR133" s="17" t="n">
        <v>14</v>
      </c>
      <c r="AS133" s="17" t="n">
        <v>2024</v>
      </c>
      <c r="AT133" s="17" t="n">
        <v>2022</v>
      </c>
      <c r="AU133" s="17" t="n">
        <v>2003</v>
      </c>
      <c r="AV133" s="17" t="n">
        <v>2025</v>
      </c>
      <c r="AW133" s="19" t="s">
        <v>713</v>
      </c>
      <c r="AX133" s="20"/>
      <c r="AY133" s="20" t="s">
        <v>472</v>
      </c>
      <c r="AZ133" s="20" t="n">
        <v>0</v>
      </c>
      <c r="BA133" s="19" t="s">
        <v>714</v>
      </c>
    </row>
    <row r="134" customFormat="false" ht="15" hidden="false" customHeight="true" outlineLevel="0" collapsed="false">
      <c r="A134" s="17" t="s">
        <v>715</v>
      </c>
      <c r="B134" s="17" t="s">
        <v>715</v>
      </c>
      <c r="C134" s="17" t="n">
        <v>780</v>
      </c>
      <c r="D134" s="17" t="n">
        <v>780</v>
      </c>
      <c r="E134" s="17" t="s">
        <v>371</v>
      </c>
      <c r="F134" s="17" t="n">
        <v>152</v>
      </c>
      <c r="G134" s="17" t="s">
        <v>372</v>
      </c>
      <c r="H134" s="17" t="n">
        <v>2003</v>
      </c>
      <c r="I134" s="17" t="n">
        <v>19502</v>
      </c>
      <c r="J134" s="18" t="n">
        <f aca="false">IFERROR(F134/I134*100,"n/a")</f>
        <v>0.779407240283048</v>
      </c>
      <c r="K134" s="17" t="n">
        <v>255</v>
      </c>
      <c r="L134" s="17" t="n">
        <v>2022</v>
      </c>
      <c r="M134" s="17" t="n">
        <v>22835</v>
      </c>
      <c r="N134" s="18" t="n">
        <f aca="false">IFERROR(K134/M134*100,"n/a")</f>
        <v>1.11670680972192</v>
      </c>
      <c r="O134" s="17" t="n">
        <v>210</v>
      </c>
      <c r="P134" s="17" t="n">
        <v>0</v>
      </c>
      <c r="Q134" s="21" t="s">
        <v>9</v>
      </c>
      <c r="R134" s="17" t="n">
        <v>2</v>
      </c>
      <c r="S134" s="17" t="n">
        <v>25</v>
      </c>
      <c r="T134" s="17" t="n">
        <v>17</v>
      </c>
      <c r="U134" s="17" t="n">
        <v>9</v>
      </c>
      <c r="V134" s="17" t="n">
        <v>18</v>
      </c>
      <c r="W134" s="17" t="n">
        <v>1971</v>
      </c>
      <c r="X134" s="17" t="n">
        <v>2009</v>
      </c>
      <c r="Y134" s="17" t="n">
        <v>15</v>
      </c>
      <c r="Z134" s="17" t="n">
        <v>0</v>
      </c>
      <c r="AA134" s="17" t="n">
        <v>0</v>
      </c>
      <c r="AB134" s="17" t="n">
        <v>0</v>
      </c>
      <c r="AC134" s="17" t="n">
        <v>25</v>
      </c>
      <c r="AD134" s="17" t="n">
        <v>0</v>
      </c>
      <c r="AE134" s="17" t="n">
        <v>0</v>
      </c>
      <c r="AF134" s="17" t="n">
        <v>25</v>
      </c>
      <c r="AG134" s="17" t="n">
        <v>25</v>
      </c>
      <c r="AH134" s="17" t="n">
        <v>0</v>
      </c>
      <c r="AI134" s="17" t="n">
        <v>0</v>
      </c>
      <c r="AJ134" s="18" t="n">
        <f aca="false">IF(S134=0,"n/a",IFERROR(AE134/S134,"n/a"))</f>
        <v>0</v>
      </c>
      <c r="AK134" s="17" t="s">
        <v>373</v>
      </c>
      <c r="AL134" s="17"/>
      <c r="AM134" s="17" t="s">
        <v>441</v>
      </c>
      <c r="AN134" s="17" t="n">
        <v>5</v>
      </c>
      <c r="AO134" s="17" t="n">
        <v>10</v>
      </c>
      <c r="AP134" s="17" t="n">
        <v>2014</v>
      </c>
      <c r="AQ134" s="17" t="n">
        <v>2024</v>
      </c>
      <c r="AR134" s="17" t="n">
        <v>1</v>
      </c>
      <c r="AS134" s="17" t="n">
        <v>2024</v>
      </c>
      <c r="AT134" s="17" t="n">
        <v>2022</v>
      </c>
      <c r="AU134" s="21" t="n">
        <v>2003</v>
      </c>
      <c r="AV134" s="17" t="n">
        <v>2025</v>
      </c>
      <c r="AW134" s="19" t="s">
        <v>716</v>
      </c>
      <c r="AX134" s="20"/>
      <c r="AY134" s="20"/>
      <c r="AZ134" s="20" t="n">
        <v>0</v>
      </c>
      <c r="BA134" s="19" t="s">
        <v>389</v>
      </c>
    </row>
    <row r="135" customFormat="false" ht="15" hidden="false" customHeight="true" outlineLevel="0" collapsed="false">
      <c r="A135" s="17" t="s">
        <v>717</v>
      </c>
      <c r="B135" s="17" t="s">
        <v>717</v>
      </c>
      <c r="C135" s="17" t="n">
        <v>625</v>
      </c>
      <c r="D135" s="17" t="n">
        <v>625</v>
      </c>
      <c r="E135" s="17" t="s">
        <v>371</v>
      </c>
      <c r="F135" s="17" t="n">
        <v>244</v>
      </c>
      <c r="G135" s="17" t="s">
        <v>372</v>
      </c>
      <c r="H135" s="17" t="n">
        <v>2013</v>
      </c>
      <c r="I135" s="17" t="n">
        <v>36850</v>
      </c>
      <c r="J135" s="18" t="n">
        <f aca="false">IFERROR(F135/I135*100,"n/a")</f>
        <v>0.662143826322931</v>
      </c>
      <c r="K135" s="17" t="n">
        <v>104</v>
      </c>
      <c r="L135" s="17" t="n">
        <v>2022</v>
      </c>
      <c r="M135" s="17" t="n">
        <v>49383</v>
      </c>
      <c r="N135" s="18" t="n">
        <f aca="false">IFERROR(K135/M135*100,"n/a")</f>
        <v>0.210598789056963</v>
      </c>
      <c r="O135" s="17"/>
      <c r="P135" s="17" t="n">
        <v>0</v>
      </c>
      <c r="Q135" s="21" t="s">
        <v>9</v>
      </c>
      <c r="R135" s="17" t="n">
        <v>4</v>
      </c>
      <c r="S135" s="17" t="n">
        <v>52</v>
      </c>
      <c r="T135" s="17" t="n">
        <v>38</v>
      </c>
      <c r="U135" s="17" t="n">
        <v>17</v>
      </c>
      <c r="V135" s="17" t="n">
        <v>36</v>
      </c>
      <c r="W135" s="17" t="n">
        <v>1963</v>
      </c>
      <c r="X135" s="17" t="n">
        <v>2024</v>
      </c>
      <c r="Y135" s="17" t="n">
        <v>0</v>
      </c>
      <c r="Z135" s="17" t="n">
        <v>1</v>
      </c>
      <c r="AA135" s="17" t="n">
        <v>1</v>
      </c>
      <c r="AB135" s="17" t="n">
        <v>2</v>
      </c>
      <c r="AC135" s="17" t="n">
        <v>51</v>
      </c>
      <c r="AD135" s="17" t="n">
        <v>0</v>
      </c>
      <c r="AE135" s="17" t="n">
        <v>1</v>
      </c>
      <c r="AF135" s="17" t="n">
        <v>52</v>
      </c>
      <c r="AG135" s="17" t="n">
        <v>52</v>
      </c>
      <c r="AH135" s="17" t="n">
        <v>0</v>
      </c>
      <c r="AI135" s="17" t="n">
        <v>0</v>
      </c>
      <c r="AJ135" s="18" t="n">
        <f aca="false">IF(S135=0,"n/a",IFERROR(AE135/S135,"n/a"))</f>
        <v>0.0192307692307692</v>
      </c>
      <c r="AK135" s="17" t="s">
        <v>382</v>
      </c>
      <c r="AL135" s="17" t="n">
        <v>18</v>
      </c>
      <c r="AM135" s="17" t="s">
        <v>718</v>
      </c>
      <c r="AN135" s="17" t="n">
        <v>3</v>
      </c>
      <c r="AO135" s="17" t="n">
        <v>14</v>
      </c>
      <c r="AP135" s="17" t="n">
        <v>2005</v>
      </c>
      <c r="AQ135" s="17" t="n">
        <v>2023</v>
      </c>
      <c r="AR135" s="17" t="n">
        <v>8</v>
      </c>
      <c r="AS135" s="17" t="n">
        <v>2024</v>
      </c>
      <c r="AT135" s="17" t="n">
        <v>2022</v>
      </c>
      <c r="AU135" s="21" t="n">
        <v>2003</v>
      </c>
      <c r="AV135" s="17" t="n">
        <v>2023</v>
      </c>
      <c r="AW135" s="19" t="s">
        <v>719</v>
      </c>
      <c r="AX135" s="20"/>
      <c r="AY135" s="20"/>
      <c r="AZ135" s="20" t="n">
        <v>0</v>
      </c>
      <c r="BA135" s="19" t="s">
        <v>376</v>
      </c>
    </row>
    <row r="136" customFormat="false" ht="15" hidden="false" customHeight="true" outlineLevel="0" collapsed="false">
      <c r="A136" s="17" t="s">
        <v>720</v>
      </c>
      <c r="B136" s="17" t="s">
        <v>720</v>
      </c>
      <c r="C136" s="17" t="n">
        <v>115</v>
      </c>
      <c r="D136" s="17" t="n">
        <v>115</v>
      </c>
      <c r="E136" s="17" t="s">
        <v>371</v>
      </c>
      <c r="F136" s="17" t="n">
        <v>4</v>
      </c>
      <c r="G136" s="17" t="s">
        <v>372</v>
      </c>
      <c r="H136" s="17" t="n">
        <v>1987</v>
      </c>
      <c r="I136" s="17" t="n">
        <v>392</v>
      </c>
      <c r="J136" s="18" t="n">
        <f aca="false">IFERROR(F136/I136*100,"n/a")</f>
        <v>1.02040816326531</v>
      </c>
      <c r="K136" s="17" t="n">
        <v>2</v>
      </c>
      <c r="L136" s="17" t="n">
        <v>2022</v>
      </c>
      <c r="M136" s="17" t="n">
        <v>623</v>
      </c>
      <c r="N136" s="18" t="n">
        <f aca="false">IFERROR(K136/M136*100,"n/a")</f>
        <v>0.321027287319422</v>
      </c>
      <c r="O136" s="17"/>
      <c r="P136" s="17" t="n">
        <v>0</v>
      </c>
      <c r="Q136" s="21" t="s">
        <v>9</v>
      </c>
      <c r="R136" s="17" t="n">
        <v>1</v>
      </c>
      <c r="S136" s="17" t="n">
        <v>1</v>
      </c>
      <c r="T136" s="17" t="n">
        <v>0</v>
      </c>
      <c r="U136" s="17" t="n">
        <v>1</v>
      </c>
      <c r="V136" s="17" t="n">
        <v>1</v>
      </c>
      <c r="W136" s="17" t="n">
        <v>1987</v>
      </c>
      <c r="X136" s="17" t="n">
        <v>1987</v>
      </c>
      <c r="Y136" s="17" t="n">
        <v>37</v>
      </c>
      <c r="Z136" s="17" t="n">
        <v>0</v>
      </c>
      <c r="AA136" s="17" t="n">
        <v>0</v>
      </c>
      <c r="AB136" s="17" t="n">
        <v>0</v>
      </c>
      <c r="AC136" s="17" t="n">
        <v>1</v>
      </c>
      <c r="AD136" s="17" t="n">
        <v>0</v>
      </c>
      <c r="AE136" s="17" t="n">
        <v>0</v>
      </c>
      <c r="AF136" s="17" t="n">
        <v>1</v>
      </c>
      <c r="AG136" s="17" t="n">
        <v>1</v>
      </c>
      <c r="AH136" s="17" t="n">
        <v>0</v>
      </c>
      <c r="AI136" s="17" t="n">
        <v>0</v>
      </c>
      <c r="AJ136" s="18" t="n">
        <f aca="false">IF(S136=0,"n/a",IFERROR(AE136/S136,"n/a"))</f>
        <v>0</v>
      </c>
      <c r="AK136" s="17" t="s">
        <v>373</v>
      </c>
      <c r="AL136" s="17"/>
      <c r="AM136" s="17" t="s">
        <v>721</v>
      </c>
      <c r="AN136" s="17" t="n">
        <v>0</v>
      </c>
      <c r="AO136" s="17" t="n">
        <v>0</v>
      </c>
      <c r="AP136" s="21" t="s">
        <v>9</v>
      </c>
      <c r="AQ136" s="21" t="s">
        <v>9</v>
      </c>
      <c r="AR136" s="17" t="n">
        <v>0</v>
      </c>
      <c r="AS136" s="17" t="n">
        <v>2024</v>
      </c>
      <c r="AT136" s="17" t="n">
        <v>2022</v>
      </c>
      <c r="AU136" s="21" t="n">
        <v>2003</v>
      </c>
      <c r="AV136" s="17" t="n">
        <v>2025</v>
      </c>
      <c r="AW136" s="19"/>
      <c r="AX136" s="20"/>
      <c r="AY136" s="20"/>
      <c r="AZ136" s="20" t="n">
        <v>0</v>
      </c>
      <c r="BA136" s="19" t="s">
        <v>389</v>
      </c>
    </row>
    <row r="137" customFormat="false" ht="15" hidden="false" customHeight="true" outlineLevel="0" collapsed="false">
      <c r="A137" s="17" t="s">
        <v>722</v>
      </c>
      <c r="B137" s="17" t="s">
        <v>722</v>
      </c>
      <c r="C137" s="17" t="n">
        <v>380</v>
      </c>
      <c r="D137" s="17" t="n">
        <v>380</v>
      </c>
      <c r="E137" s="17" t="s">
        <v>394</v>
      </c>
      <c r="F137" s="17" t="n">
        <v>80</v>
      </c>
      <c r="G137" s="17" t="s">
        <v>395</v>
      </c>
      <c r="H137" s="17" t="n">
        <v>1961</v>
      </c>
      <c r="I137" s="17" t="n">
        <v>7520</v>
      </c>
      <c r="J137" s="18" t="n">
        <f aca="false">IFERROR(F137/I137*100,"n/a")</f>
        <v>1.06382978723404</v>
      </c>
      <c r="K137" s="17" t="n">
        <v>15</v>
      </c>
      <c r="L137" s="17" t="n">
        <v>2022</v>
      </c>
      <c r="M137" s="17" t="n">
        <v>10487</v>
      </c>
      <c r="N137" s="18" t="n">
        <f aca="false">IFERROR(K137/M137*100,"n/a")</f>
        <v>0.143034232859731</v>
      </c>
      <c r="O137" s="17" t="n">
        <v>25</v>
      </c>
      <c r="P137" s="17" t="n">
        <v>0</v>
      </c>
      <c r="Q137" s="21" t="s">
        <v>9</v>
      </c>
      <c r="R137" s="17" t="n">
        <v>0</v>
      </c>
      <c r="S137" s="17" t="n">
        <v>0</v>
      </c>
      <c r="T137" s="17" t="n">
        <v>0</v>
      </c>
      <c r="U137" s="17" t="n">
        <v>0</v>
      </c>
      <c r="V137" s="17" t="n">
        <v>0</v>
      </c>
      <c r="W137" s="21" t="s">
        <v>9</v>
      </c>
      <c r="X137" s="21" t="s">
        <v>9</v>
      </c>
      <c r="Y137" s="21" t="s">
        <v>9</v>
      </c>
      <c r="Z137" s="17" t="n">
        <v>0</v>
      </c>
      <c r="AA137" s="17" t="n">
        <v>0</v>
      </c>
      <c r="AB137" s="17" t="n">
        <v>0</v>
      </c>
      <c r="AC137" s="17" t="n">
        <v>0</v>
      </c>
      <c r="AD137" s="17" t="n">
        <v>0</v>
      </c>
      <c r="AE137" s="17" t="n">
        <v>0</v>
      </c>
      <c r="AF137" s="17" t="n">
        <v>0</v>
      </c>
      <c r="AG137" s="17" t="n">
        <v>0</v>
      </c>
      <c r="AH137" s="17" t="n">
        <v>0</v>
      </c>
      <c r="AI137" s="17" t="n">
        <v>0</v>
      </c>
      <c r="AJ137" s="18" t="str">
        <f aca="false">IF(S137=0,"n/a",IFERROR(AE137/S137,"n/a"))</f>
        <v>n/a</v>
      </c>
      <c r="AK137" s="17" t="s">
        <v>382</v>
      </c>
      <c r="AL137" s="17" t="n">
        <v>12</v>
      </c>
      <c r="AM137" s="17" t="s">
        <v>629</v>
      </c>
      <c r="AN137" s="17" t="n">
        <v>6</v>
      </c>
      <c r="AO137" s="17" t="n">
        <v>18</v>
      </c>
      <c r="AP137" s="17" t="n">
        <v>2006</v>
      </c>
      <c r="AQ137" s="17" t="n">
        <v>2023</v>
      </c>
      <c r="AR137" s="17" t="n">
        <v>10</v>
      </c>
      <c r="AS137" s="17" t="n">
        <v>2024</v>
      </c>
      <c r="AT137" s="17" t="n">
        <v>2022</v>
      </c>
      <c r="AU137" s="21" t="n">
        <v>2003</v>
      </c>
      <c r="AV137" s="17" t="n">
        <v>2025</v>
      </c>
      <c r="AW137" s="19" t="s">
        <v>723</v>
      </c>
      <c r="AX137" s="20"/>
      <c r="AY137" s="20"/>
      <c r="AZ137" s="20" t="n">
        <v>0</v>
      </c>
      <c r="BA137" s="19"/>
    </row>
    <row r="138" customFormat="false" ht="15" hidden="false" customHeight="true" outlineLevel="0" collapsed="false">
      <c r="A138" s="17" t="s">
        <v>724</v>
      </c>
      <c r="B138" s="17" t="s">
        <v>724</v>
      </c>
      <c r="C138" s="17" t="n">
        <v>225</v>
      </c>
      <c r="D138" s="17" t="n">
        <v>225</v>
      </c>
      <c r="E138" s="17" t="s">
        <v>394</v>
      </c>
      <c r="F138" s="17" t="n">
        <v>39</v>
      </c>
      <c r="G138" s="17" t="s">
        <v>395</v>
      </c>
      <c r="H138" s="17" t="n">
        <v>1994</v>
      </c>
      <c r="I138" s="17" t="n">
        <v>6994</v>
      </c>
      <c r="J138" s="18" t="n">
        <f aca="false">IFERROR(F138/I138*100,"n/a")</f>
        <v>0.557620817843866</v>
      </c>
      <c r="K138" s="17" t="n">
        <v>20</v>
      </c>
      <c r="L138" s="17" t="n">
        <v>2022</v>
      </c>
      <c r="M138" s="17" t="n">
        <v>8792</v>
      </c>
      <c r="N138" s="18" t="n">
        <f aca="false">IFERROR(K138/M138*100,"n/a")</f>
        <v>0.227479526842584</v>
      </c>
      <c r="O138" s="17"/>
      <c r="P138" s="17" t="n">
        <v>0</v>
      </c>
      <c r="Q138" s="21" t="s">
        <v>9</v>
      </c>
      <c r="R138" s="17" t="n">
        <v>0</v>
      </c>
      <c r="S138" s="17" t="n">
        <v>0</v>
      </c>
      <c r="T138" s="17" t="n">
        <v>0</v>
      </c>
      <c r="U138" s="17" t="n">
        <v>0</v>
      </c>
      <c r="V138" s="17" t="n">
        <v>0</v>
      </c>
      <c r="W138" s="21" t="s">
        <v>9</v>
      </c>
      <c r="X138" s="21" t="s">
        <v>9</v>
      </c>
      <c r="Y138" s="21" t="s">
        <v>9</v>
      </c>
      <c r="Z138" s="17" t="n">
        <v>0</v>
      </c>
      <c r="AA138" s="17" t="n">
        <v>0</v>
      </c>
      <c r="AB138" s="17" t="n">
        <v>0</v>
      </c>
      <c r="AC138" s="17" t="n">
        <v>0</v>
      </c>
      <c r="AD138" s="17" t="n">
        <v>0</v>
      </c>
      <c r="AE138" s="17" t="n">
        <v>0</v>
      </c>
      <c r="AF138" s="17" t="n">
        <v>0</v>
      </c>
      <c r="AG138" s="17" t="n">
        <v>0</v>
      </c>
      <c r="AH138" s="17" t="n">
        <v>0</v>
      </c>
      <c r="AI138" s="17" t="n">
        <v>0</v>
      </c>
      <c r="AJ138" s="18" t="str">
        <f aca="false">IF(S138=0,"n/a",IFERROR(AE138/S138,"n/a"))</f>
        <v>n/a</v>
      </c>
      <c r="AK138" s="17" t="s">
        <v>382</v>
      </c>
      <c r="AL138" s="17"/>
      <c r="AM138" s="17" t="s">
        <v>415</v>
      </c>
      <c r="AN138" s="17" t="n">
        <v>4</v>
      </c>
      <c r="AO138" s="17" t="n">
        <v>11</v>
      </c>
      <c r="AP138" s="17" t="n">
        <v>2006</v>
      </c>
      <c r="AQ138" s="17" t="n">
        <v>2023</v>
      </c>
      <c r="AR138" s="17" t="n">
        <v>3</v>
      </c>
      <c r="AS138" s="17" t="n">
        <v>2024</v>
      </c>
      <c r="AT138" s="17" t="n">
        <v>2022</v>
      </c>
      <c r="AU138" s="21" t="n">
        <v>2003</v>
      </c>
      <c r="AV138" s="17" t="n">
        <v>2024</v>
      </c>
      <c r="AW138" s="19" t="s">
        <v>725</v>
      </c>
      <c r="AX138" s="20"/>
      <c r="AY138" s="20" t="s">
        <v>385</v>
      </c>
      <c r="AZ138" s="20" t="n">
        <v>0</v>
      </c>
      <c r="BA138" s="19"/>
    </row>
    <row r="139" customFormat="false" ht="15" hidden="false" customHeight="true" outlineLevel="0" collapsed="false">
      <c r="A139" s="17" t="s">
        <v>726</v>
      </c>
      <c r="B139" s="17" t="s">
        <v>726</v>
      </c>
      <c r="C139" s="17" t="n">
        <v>652</v>
      </c>
      <c r="D139" s="17" t="n">
        <v>652</v>
      </c>
      <c r="E139" s="17" t="s">
        <v>371</v>
      </c>
      <c r="F139" s="17" t="n">
        <v>300</v>
      </c>
      <c r="G139" s="17" t="s">
        <v>372</v>
      </c>
      <c r="H139" s="17" t="n">
        <v>1982</v>
      </c>
      <c r="I139" s="17" t="n">
        <v>9295</v>
      </c>
      <c r="J139" s="18" t="n">
        <f aca="false">IFERROR(F139/I139*100,"n/a")</f>
        <v>3.22754168908015</v>
      </c>
      <c r="K139" s="17" t="n">
        <v>169</v>
      </c>
      <c r="L139" s="17" t="n">
        <v>2022</v>
      </c>
      <c r="M139" s="17" t="n">
        <v>22462</v>
      </c>
      <c r="N139" s="18" t="n">
        <f aca="false">IFERROR(K139/M139*100,"n/a")</f>
        <v>0.752381800373965</v>
      </c>
      <c r="O139" s="17"/>
      <c r="P139" s="17" t="n">
        <v>8200</v>
      </c>
      <c r="Q139" s="17" t="n">
        <v>1991</v>
      </c>
      <c r="R139" s="17" t="n">
        <v>6</v>
      </c>
      <c r="S139" s="17" t="n">
        <v>23</v>
      </c>
      <c r="T139" s="17" t="n">
        <v>16</v>
      </c>
      <c r="U139" s="17" t="n">
        <v>16</v>
      </c>
      <c r="V139" s="17" t="n">
        <v>14</v>
      </c>
      <c r="W139" s="17" t="n">
        <v>1948</v>
      </c>
      <c r="X139" s="17" t="n">
        <v>2024</v>
      </c>
      <c r="Y139" s="17" t="n">
        <v>0</v>
      </c>
      <c r="Z139" s="17" t="n">
        <v>4</v>
      </c>
      <c r="AA139" s="17" t="n">
        <v>4</v>
      </c>
      <c r="AB139" s="17" t="n">
        <v>10</v>
      </c>
      <c r="AC139" s="17" t="n">
        <v>14</v>
      </c>
      <c r="AD139" s="17" t="n">
        <v>0</v>
      </c>
      <c r="AE139" s="17" t="n">
        <v>2</v>
      </c>
      <c r="AF139" s="17" t="n">
        <v>19</v>
      </c>
      <c r="AG139" s="17" t="n">
        <v>21</v>
      </c>
      <c r="AH139" s="17" t="n">
        <v>0</v>
      </c>
      <c r="AI139" s="17" t="n">
        <v>2</v>
      </c>
      <c r="AJ139" s="18" t="n">
        <f aca="false">IF(S139=0,"n/a",IFERROR(AE139/S139,"n/a"))</f>
        <v>0.0869565217391304</v>
      </c>
      <c r="AK139" s="17" t="s">
        <v>382</v>
      </c>
      <c r="AL139" s="17" t="n">
        <v>19.5</v>
      </c>
      <c r="AM139" s="17" t="s">
        <v>727</v>
      </c>
      <c r="AN139" s="17" t="n">
        <v>3</v>
      </c>
      <c r="AO139" s="17" t="n">
        <v>5</v>
      </c>
      <c r="AP139" s="17" t="n">
        <v>1982</v>
      </c>
      <c r="AQ139" s="17" t="n">
        <v>1991</v>
      </c>
      <c r="AR139" s="17" t="n">
        <v>2</v>
      </c>
      <c r="AS139" s="17" t="n">
        <v>2024</v>
      </c>
      <c r="AT139" s="17" t="n">
        <v>2022</v>
      </c>
      <c r="AU139" s="17" t="n">
        <v>2003</v>
      </c>
      <c r="AV139" s="17"/>
      <c r="AW139" s="19" t="s">
        <v>728</v>
      </c>
      <c r="AX139" s="20"/>
      <c r="AY139" s="20"/>
      <c r="AZ139" s="20" t="n">
        <v>0</v>
      </c>
      <c r="BA139" s="19" t="s">
        <v>376</v>
      </c>
    </row>
    <row r="140" customFormat="false" ht="15" hidden="false" customHeight="true" outlineLevel="0" collapsed="false">
      <c r="A140" s="17" t="s">
        <v>729</v>
      </c>
      <c r="B140" s="17" t="s">
        <v>729</v>
      </c>
      <c r="C140" s="17" t="n">
        <v>713</v>
      </c>
      <c r="D140" s="17" t="n">
        <v>713</v>
      </c>
      <c r="E140" s="17" t="s">
        <v>371</v>
      </c>
      <c r="F140" s="17" t="n">
        <v>1500</v>
      </c>
      <c r="G140" s="17" t="s">
        <v>372</v>
      </c>
      <c r="H140" s="17" t="n">
        <v>1949</v>
      </c>
      <c r="I140" s="17" t="n">
        <v>7099</v>
      </c>
      <c r="J140" s="18" t="n">
        <f aca="false">IFERROR(F140/I140*100,"n/a")</f>
        <v>21.1297365826173</v>
      </c>
      <c r="K140" s="17" t="n">
        <v>169</v>
      </c>
      <c r="L140" s="17" t="n">
        <v>2022</v>
      </c>
      <c r="M140" s="17" t="n">
        <v>23420</v>
      </c>
      <c r="N140" s="18" t="n">
        <f aca="false">IFERROR(K140/M140*100,"n/a")</f>
        <v>0.721605465414176</v>
      </c>
      <c r="O140" s="17" t="n">
        <v>170</v>
      </c>
      <c r="P140" s="17" t="n">
        <v>2867</v>
      </c>
      <c r="Q140" s="17" t="n">
        <v>1958</v>
      </c>
      <c r="R140" s="17" t="n">
        <v>1</v>
      </c>
      <c r="S140" s="17" t="n">
        <v>4</v>
      </c>
      <c r="T140" s="17" t="n">
        <v>3</v>
      </c>
      <c r="U140" s="17" t="n">
        <v>1</v>
      </c>
      <c r="V140" s="17" t="n">
        <v>2</v>
      </c>
      <c r="W140" s="17" t="n">
        <v>1949</v>
      </c>
      <c r="X140" s="17" t="n">
        <v>1958</v>
      </c>
      <c r="Y140" s="17" t="n">
        <v>66</v>
      </c>
      <c r="Z140" s="17" t="n">
        <v>4</v>
      </c>
      <c r="AA140" s="17" t="n">
        <v>4</v>
      </c>
      <c r="AB140" s="17" t="n">
        <v>0</v>
      </c>
      <c r="AC140" s="17" t="n">
        <v>0</v>
      </c>
      <c r="AD140" s="17" t="n">
        <v>0</v>
      </c>
      <c r="AE140" s="17" t="n">
        <v>4</v>
      </c>
      <c r="AF140" s="17" t="n">
        <v>0</v>
      </c>
      <c r="AG140" s="17" t="n">
        <v>4</v>
      </c>
      <c r="AH140" s="17" t="n">
        <v>0</v>
      </c>
      <c r="AI140" s="17" t="n">
        <v>0</v>
      </c>
      <c r="AJ140" s="18" t="n">
        <f aca="false">IF(S140=0,"n/a",IFERROR(AE140/S140,"n/a"))</f>
        <v>1</v>
      </c>
      <c r="AK140" s="17" t="s">
        <v>382</v>
      </c>
      <c r="AL140" s="17"/>
      <c r="AM140" s="17" t="s">
        <v>605</v>
      </c>
      <c r="AN140" s="17" t="n">
        <v>0</v>
      </c>
      <c r="AO140" s="17" t="n">
        <v>0</v>
      </c>
      <c r="AP140" s="21" t="s">
        <v>9</v>
      </c>
      <c r="AQ140" s="21" t="s">
        <v>9</v>
      </c>
      <c r="AR140" s="17" t="n">
        <v>0</v>
      </c>
      <c r="AS140" s="17" t="n">
        <v>2024</v>
      </c>
      <c r="AT140" s="17" t="n">
        <v>2022</v>
      </c>
      <c r="AU140" s="17" t="n">
        <v>2003</v>
      </c>
      <c r="AV140" s="17" t="n">
        <v>2025</v>
      </c>
      <c r="AW140" s="19" t="s">
        <v>730</v>
      </c>
      <c r="AX140" s="20"/>
      <c r="AY140" s="20" t="s">
        <v>731</v>
      </c>
      <c r="AZ140" s="20" t="n">
        <v>0</v>
      </c>
      <c r="BA140" s="19" t="s">
        <v>380</v>
      </c>
    </row>
    <row r="141" customFormat="false" ht="15" hidden="false" customHeight="true" outlineLevel="0" collapsed="false">
      <c r="A141" s="17" t="s">
        <v>732</v>
      </c>
      <c r="B141" s="17" t="s">
        <v>732</v>
      </c>
      <c r="C141" s="17" t="n">
        <v>702</v>
      </c>
      <c r="D141" s="17" t="n">
        <v>702</v>
      </c>
      <c r="E141" s="17" t="s">
        <v>371</v>
      </c>
      <c r="F141" s="17" t="n">
        <v>10</v>
      </c>
      <c r="G141" s="17" t="s">
        <v>372</v>
      </c>
      <c r="H141" s="17" t="n">
        <v>1996</v>
      </c>
      <c r="I141" s="17" t="n">
        <v>5919</v>
      </c>
      <c r="J141" s="18" t="n">
        <f aca="false">IFERROR(F141/I141*100,"n/a")</f>
        <v>0.168947457340767</v>
      </c>
      <c r="K141" s="17" t="n">
        <v>9</v>
      </c>
      <c r="L141" s="17" t="n">
        <v>2022</v>
      </c>
      <c r="M141" s="17" t="n">
        <v>10182</v>
      </c>
      <c r="N141" s="18" t="n">
        <f aca="false">IFERROR(K141/M141*100,"n/a")</f>
        <v>0.0883912787271656</v>
      </c>
      <c r="O141" s="17" t="n">
        <v>10</v>
      </c>
      <c r="P141" s="17" t="n">
        <v>0</v>
      </c>
      <c r="Q141" s="21" t="s">
        <v>9</v>
      </c>
      <c r="R141" s="17" t="n">
        <v>3</v>
      </c>
      <c r="S141" s="17" t="n">
        <v>14</v>
      </c>
      <c r="T141" s="17" t="n">
        <v>3</v>
      </c>
      <c r="U141" s="17" t="n">
        <v>11</v>
      </c>
      <c r="V141" s="17" t="n">
        <v>7</v>
      </c>
      <c r="W141" s="17" t="n">
        <v>1992</v>
      </c>
      <c r="X141" s="17" t="n">
        <v>2022</v>
      </c>
      <c r="Y141" s="17" t="n">
        <v>2</v>
      </c>
      <c r="Z141" s="17" t="n">
        <v>2</v>
      </c>
      <c r="AA141" s="17" t="n">
        <v>2</v>
      </c>
      <c r="AB141" s="17" t="n">
        <v>5</v>
      </c>
      <c r="AC141" s="17" t="n">
        <v>7</v>
      </c>
      <c r="AD141" s="17" t="n">
        <v>0</v>
      </c>
      <c r="AE141" s="17" t="n">
        <v>2</v>
      </c>
      <c r="AF141" s="17" t="n">
        <v>10</v>
      </c>
      <c r="AG141" s="17" t="n">
        <v>12</v>
      </c>
      <c r="AH141" s="17" t="n">
        <v>0</v>
      </c>
      <c r="AI141" s="17" t="n">
        <v>0</v>
      </c>
      <c r="AJ141" s="18" t="n">
        <f aca="false">IF(S141=0,"n/a",IFERROR(AE141/S141,"n/a"))</f>
        <v>0.142857142857143</v>
      </c>
      <c r="AK141" s="17" t="s">
        <v>382</v>
      </c>
      <c r="AL141" s="17" t="n">
        <v>24</v>
      </c>
      <c r="AM141" s="17" t="s">
        <v>733</v>
      </c>
      <c r="AN141" s="17" t="n">
        <v>1</v>
      </c>
      <c r="AO141" s="17" t="n">
        <v>2</v>
      </c>
      <c r="AP141" s="17" t="n">
        <v>2013</v>
      </c>
      <c r="AQ141" s="17" t="n">
        <v>2014</v>
      </c>
      <c r="AR141" s="17" t="n">
        <v>0</v>
      </c>
      <c r="AS141" s="17" t="n">
        <v>2024</v>
      </c>
      <c r="AT141" s="17" t="n">
        <v>2022</v>
      </c>
      <c r="AU141" s="21" t="n">
        <v>2003</v>
      </c>
      <c r="AV141" s="17" t="n">
        <v>2025</v>
      </c>
      <c r="AW141" s="19" t="s">
        <v>734</v>
      </c>
      <c r="AX141" s="20"/>
      <c r="AY141" s="20"/>
      <c r="AZ141" s="20" t="n">
        <v>2</v>
      </c>
      <c r="BA141" s="19" t="s">
        <v>436</v>
      </c>
    </row>
    <row r="142" customFormat="false" ht="15" hidden="false" customHeight="true" outlineLevel="0" collapsed="false">
      <c r="A142" s="17" t="s">
        <v>735</v>
      </c>
      <c r="B142" s="17" t="s">
        <v>736</v>
      </c>
      <c r="C142" s="17" t="n">
        <v>510</v>
      </c>
      <c r="D142" s="17" t="n">
        <v>510</v>
      </c>
      <c r="E142" s="17" t="s">
        <v>371</v>
      </c>
      <c r="F142" s="17" t="n">
        <v>63</v>
      </c>
      <c r="G142" s="17" t="s">
        <v>372</v>
      </c>
      <c r="H142" s="17" t="n">
        <v>1978</v>
      </c>
      <c r="I142" s="17" t="n">
        <v>17443</v>
      </c>
      <c r="J142" s="18" t="n">
        <f aca="false">IFERROR(F142/I142*100,"n/a")</f>
        <v>0.361176403141661</v>
      </c>
      <c r="K142" s="17" t="n">
        <v>27</v>
      </c>
      <c r="L142" s="17" t="n">
        <v>2022</v>
      </c>
      <c r="M142" s="17" t="n">
        <v>64712</v>
      </c>
      <c r="N142" s="18" t="n">
        <f aca="false">IFERROR(K142/M142*100,"n/a")</f>
        <v>0.0417233279762641</v>
      </c>
      <c r="O142" s="17" t="n">
        <v>25</v>
      </c>
      <c r="P142" s="17" t="n">
        <v>1000</v>
      </c>
      <c r="Q142" s="17" t="n">
        <v>1979</v>
      </c>
      <c r="R142" s="17" t="n">
        <v>2</v>
      </c>
      <c r="S142" s="17" t="n">
        <v>2</v>
      </c>
      <c r="T142" s="17" t="n">
        <v>0</v>
      </c>
      <c r="U142" s="17" t="n">
        <v>2</v>
      </c>
      <c r="V142" s="17" t="n">
        <v>1</v>
      </c>
      <c r="W142" s="17" t="n">
        <v>1978</v>
      </c>
      <c r="X142" s="17" t="n">
        <v>2020</v>
      </c>
      <c r="Y142" s="17" t="n">
        <v>4</v>
      </c>
      <c r="Z142" s="17" t="n">
        <v>1</v>
      </c>
      <c r="AA142" s="17" t="n">
        <v>1</v>
      </c>
      <c r="AB142" s="17" t="n">
        <v>0</v>
      </c>
      <c r="AC142" s="17" t="n">
        <v>1</v>
      </c>
      <c r="AD142" s="17" t="n">
        <v>0</v>
      </c>
      <c r="AE142" s="17" t="n">
        <v>1</v>
      </c>
      <c r="AF142" s="17" t="n">
        <v>0</v>
      </c>
      <c r="AG142" s="17" t="n">
        <v>1</v>
      </c>
      <c r="AH142" s="17" t="n">
        <v>0</v>
      </c>
      <c r="AI142" s="17" t="n">
        <v>0</v>
      </c>
      <c r="AJ142" s="18" t="n">
        <f aca="false">IF(S142=0,"n/a",IFERROR(AE142/S142,"n/a"))</f>
        <v>0.5</v>
      </c>
      <c r="AK142" s="17" t="s">
        <v>373</v>
      </c>
      <c r="AL142" s="17"/>
      <c r="AM142" s="17" t="s">
        <v>679</v>
      </c>
      <c r="AN142" s="17" t="n">
        <v>9</v>
      </c>
      <c r="AO142" s="17" t="n">
        <v>17</v>
      </c>
      <c r="AP142" s="17" t="n">
        <v>1979</v>
      </c>
      <c r="AQ142" s="17" t="n">
        <v>2024</v>
      </c>
      <c r="AR142" s="17" t="n">
        <v>6</v>
      </c>
      <c r="AS142" s="17" t="n">
        <v>2024</v>
      </c>
      <c r="AT142" s="17" t="n">
        <v>2022</v>
      </c>
      <c r="AU142" s="17" t="n">
        <v>2003</v>
      </c>
      <c r="AV142" s="17" t="n">
        <v>2025</v>
      </c>
      <c r="AW142" s="19" t="s">
        <v>737</v>
      </c>
      <c r="AX142" s="20"/>
      <c r="AY142" s="20"/>
      <c r="AZ142" s="20" t="n">
        <v>1</v>
      </c>
      <c r="BA142" s="19" t="s">
        <v>738</v>
      </c>
    </row>
    <row r="143" customFormat="false" ht="15" hidden="false" customHeight="true" outlineLevel="0" collapsed="false">
      <c r="A143" s="17" t="s">
        <v>739</v>
      </c>
      <c r="B143" s="17" t="s">
        <v>739</v>
      </c>
      <c r="C143" s="17" t="n">
        <v>800</v>
      </c>
      <c r="D143" s="17" t="n">
        <v>800</v>
      </c>
      <c r="E143" s="17" t="s">
        <v>371</v>
      </c>
      <c r="F143" s="17" t="n">
        <v>361</v>
      </c>
      <c r="G143" s="17" t="s">
        <v>372</v>
      </c>
      <c r="H143" s="17" t="n">
        <v>2013</v>
      </c>
      <c r="I143" s="17" t="n">
        <v>68143</v>
      </c>
      <c r="J143" s="18" t="n">
        <f aca="false">IFERROR(F143/I143*100,"n/a")</f>
        <v>0.529768281408215</v>
      </c>
      <c r="K143" s="17" t="n">
        <v>361</v>
      </c>
      <c r="L143" s="17" t="n">
        <v>2022</v>
      </c>
      <c r="M143" s="17" t="n">
        <v>71735</v>
      </c>
      <c r="N143" s="18" t="n">
        <f aca="false">IFERROR(K143/M143*100,"n/a")</f>
        <v>0.503241095699449</v>
      </c>
      <c r="O143" s="17" t="n">
        <v>350</v>
      </c>
      <c r="P143" s="17" t="n">
        <v>465</v>
      </c>
      <c r="Q143" s="17" t="n">
        <v>1973</v>
      </c>
      <c r="R143" s="17" t="n">
        <v>5</v>
      </c>
      <c r="S143" s="17" t="n">
        <v>36</v>
      </c>
      <c r="T143" s="17" t="n">
        <v>0</v>
      </c>
      <c r="U143" s="17" t="n">
        <v>36</v>
      </c>
      <c r="V143" s="17" t="n">
        <v>22</v>
      </c>
      <c r="W143" s="17" t="n">
        <v>1946</v>
      </c>
      <c r="X143" s="17" t="n">
        <v>2024</v>
      </c>
      <c r="Y143" s="17" t="n">
        <v>0</v>
      </c>
      <c r="Z143" s="17" t="n">
        <v>7</v>
      </c>
      <c r="AA143" s="17" t="n">
        <v>7</v>
      </c>
      <c r="AB143" s="17" t="n">
        <v>0</v>
      </c>
      <c r="AC143" s="17" t="n">
        <v>32</v>
      </c>
      <c r="AD143" s="17" t="n">
        <v>0</v>
      </c>
      <c r="AE143" s="17" t="n">
        <v>6</v>
      </c>
      <c r="AF143" s="17" t="n">
        <v>32</v>
      </c>
      <c r="AG143" s="17" t="n">
        <v>35</v>
      </c>
      <c r="AH143" s="17" t="n">
        <v>0</v>
      </c>
      <c r="AI143" s="17" t="n">
        <v>0</v>
      </c>
      <c r="AJ143" s="18" t="n">
        <f aca="false">IF(S143=0,"n/a",IFERROR(AE143/S143,"n/a"))</f>
        <v>0.166666666666667</v>
      </c>
      <c r="AK143" s="17" t="s">
        <v>382</v>
      </c>
      <c r="AL143" s="17" t="n">
        <v>12</v>
      </c>
      <c r="AM143" s="17" t="s">
        <v>428</v>
      </c>
      <c r="AN143" s="17" t="n">
        <v>5</v>
      </c>
      <c r="AO143" s="17" t="n">
        <v>14</v>
      </c>
      <c r="AP143" s="17" t="n">
        <v>1950</v>
      </c>
      <c r="AQ143" s="17" t="n">
        <v>2015</v>
      </c>
      <c r="AR143" s="17" t="n">
        <v>12</v>
      </c>
      <c r="AS143" s="17" t="n">
        <v>2024</v>
      </c>
      <c r="AT143" s="17" t="n">
        <v>2022</v>
      </c>
      <c r="AU143" s="17" t="n">
        <v>2003</v>
      </c>
      <c r="AV143" s="17" t="n">
        <v>2025</v>
      </c>
      <c r="AW143" s="19" t="s">
        <v>740</v>
      </c>
      <c r="AX143" s="20"/>
      <c r="AY143" s="20"/>
      <c r="AZ143" s="20" t="n">
        <v>1</v>
      </c>
      <c r="BA143" s="19" t="s">
        <v>741</v>
      </c>
    </row>
    <row r="144" customFormat="false" ht="15" hidden="false" customHeight="true" outlineLevel="0" collapsed="false">
      <c r="A144" s="17" t="s">
        <v>742</v>
      </c>
      <c r="B144" s="17" t="s">
        <v>742</v>
      </c>
      <c r="C144" s="17" t="n">
        <v>461</v>
      </c>
      <c r="D144" s="17" t="n">
        <v>461</v>
      </c>
      <c r="E144" s="17" t="s">
        <v>371</v>
      </c>
      <c r="F144" s="17" t="n">
        <v>13</v>
      </c>
      <c r="G144" s="17" t="s">
        <v>372</v>
      </c>
      <c r="H144" s="17" t="n">
        <v>2022</v>
      </c>
      <c r="I144" s="17" t="n">
        <v>9090</v>
      </c>
      <c r="J144" s="18" t="n">
        <f aca="false">IFERROR(F144/I144*100,"n/a")</f>
        <v>0.143014301430143</v>
      </c>
      <c r="K144" s="17" t="n">
        <v>13</v>
      </c>
      <c r="L144" s="17" t="n">
        <v>2022</v>
      </c>
      <c r="M144" s="17" t="n">
        <v>9090</v>
      </c>
      <c r="N144" s="18" t="n">
        <f aca="false">IFERROR(K144/M144*100,"n/a")</f>
        <v>0.143014301430143</v>
      </c>
      <c r="O144" s="17" t="n">
        <v>20</v>
      </c>
      <c r="P144" s="17" t="n">
        <v>0</v>
      </c>
      <c r="Q144" s="21" t="s">
        <v>9</v>
      </c>
      <c r="R144" s="17" t="n">
        <v>1</v>
      </c>
      <c r="S144" s="17" t="n">
        <v>4</v>
      </c>
      <c r="T144" s="17" t="n">
        <v>0</v>
      </c>
      <c r="U144" s="17" t="n">
        <v>4</v>
      </c>
      <c r="V144" s="17" t="n">
        <v>3</v>
      </c>
      <c r="W144" s="17" t="n">
        <v>1986</v>
      </c>
      <c r="X144" s="17" t="n">
        <v>2024</v>
      </c>
      <c r="Y144" s="17" t="n">
        <v>0</v>
      </c>
      <c r="Z144" s="17" t="n">
        <v>0</v>
      </c>
      <c r="AA144" s="17" t="n">
        <v>0</v>
      </c>
      <c r="AB144" s="17" t="n">
        <v>0</v>
      </c>
      <c r="AC144" s="17" t="n">
        <v>4</v>
      </c>
      <c r="AD144" s="17" t="n">
        <v>0</v>
      </c>
      <c r="AE144" s="17" t="n">
        <v>0</v>
      </c>
      <c r="AF144" s="17" t="n">
        <v>4</v>
      </c>
      <c r="AG144" s="17" t="n">
        <v>4</v>
      </c>
      <c r="AH144" s="17" t="n">
        <v>0</v>
      </c>
      <c r="AI144" s="17" t="n">
        <v>0</v>
      </c>
      <c r="AJ144" s="18" t="n">
        <f aca="false">IF(S144=0,"n/a",IFERROR(AE144/S144,"n/a"))</f>
        <v>0</v>
      </c>
      <c r="AK144" s="17" t="s">
        <v>373</v>
      </c>
      <c r="AL144" s="17" t="n">
        <v>24</v>
      </c>
      <c r="AM144" s="17" t="s">
        <v>490</v>
      </c>
      <c r="AN144" s="17" t="n">
        <v>6</v>
      </c>
      <c r="AO144" s="17" t="n">
        <v>12</v>
      </c>
      <c r="AP144" s="17" t="n">
        <v>2013</v>
      </c>
      <c r="AQ144" s="17" t="n">
        <v>2024</v>
      </c>
      <c r="AR144" s="17" t="n">
        <v>1</v>
      </c>
      <c r="AS144" s="17" t="n">
        <v>2024</v>
      </c>
      <c r="AT144" s="17" t="n">
        <v>2022</v>
      </c>
      <c r="AU144" s="21" t="n">
        <v>2003</v>
      </c>
      <c r="AV144" s="17" t="n">
        <v>2025</v>
      </c>
      <c r="AW144" s="19" t="s">
        <v>743</v>
      </c>
      <c r="AX144" s="20"/>
      <c r="AY144" s="20" t="s">
        <v>472</v>
      </c>
      <c r="AZ144" s="20" t="n">
        <v>0</v>
      </c>
      <c r="BA144" s="19" t="s">
        <v>389</v>
      </c>
    </row>
    <row r="145" customFormat="false" ht="15" hidden="false" customHeight="true" outlineLevel="0" collapsed="false">
      <c r="A145" s="17" t="s">
        <v>744</v>
      </c>
      <c r="B145" s="17" t="s">
        <v>744</v>
      </c>
      <c r="C145" s="17" t="n">
        <v>52</v>
      </c>
      <c r="D145" s="17" t="n">
        <v>52</v>
      </c>
      <c r="E145" s="17" t="s">
        <v>371</v>
      </c>
      <c r="F145" s="17" t="n">
        <v>2</v>
      </c>
      <c r="G145" s="17" t="s">
        <v>372</v>
      </c>
      <c r="H145" s="17" t="n">
        <v>1990</v>
      </c>
      <c r="I145" s="17" t="n">
        <v>1215</v>
      </c>
      <c r="J145" s="18" t="n">
        <f aca="false">IFERROR(F145/I145*100,"n/a")</f>
        <v>0.164609053497942</v>
      </c>
      <c r="K145" s="17" t="n">
        <v>5</v>
      </c>
      <c r="L145" s="17" t="n">
        <v>2022</v>
      </c>
      <c r="M145" s="17" t="n">
        <v>1496</v>
      </c>
      <c r="N145" s="18" t="n">
        <f aca="false">IFERROR(K145/M145*100,"n/a")</f>
        <v>0.334224598930481</v>
      </c>
      <c r="O145" s="17"/>
      <c r="P145" s="17" t="n">
        <v>0</v>
      </c>
      <c r="Q145" s="21" t="s">
        <v>9</v>
      </c>
      <c r="R145" s="17" t="n">
        <v>1</v>
      </c>
      <c r="S145" s="17" t="n">
        <v>1</v>
      </c>
      <c r="T145" s="17" t="n">
        <v>0</v>
      </c>
      <c r="U145" s="17" t="n">
        <v>1</v>
      </c>
      <c r="V145" s="17" t="n">
        <v>1</v>
      </c>
      <c r="W145" s="17" t="n">
        <v>1990</v>
      </c>
      <c r="X145" s="17" t="n">
        <v>1990</v>
      </c>
      <c r="Y145" s="17" t="n">
        <v>34</v>
      </c>
      <c r="Z145" s="17" t="n">
        <v>0</v>
      </c>
      <c r="AA145" s="17" t="n">
        <v>0</v>
      </c>
      <c r="AB145" s="17" t="n">
        <v>0</v>
      </c>
      <c r="AC145" s="17" t="n">
        <v>1</v>
      </c>
      <c r="AD145" s="17" t="n">
        <v>0</v>
      </c>
      <c r="AE145" s="17" t="n">
        <v>0</v>
      </c>
      <c r="AF145" s="17" t="n">
        <v>1</v>
      </c>
      <c r="AG145" s="17" t="n">
        <v>1</v>
      </c>
      <c r="AH145" s="17" t="n">
        <v>0</v>
      </c>
      <c r="AI145" s="17" t="n">
        <v>0</v>
      </c>
      <c r="AJ145" s="18" t="n">
        <f aca="false">IF(S145=0,"n/a",IFERROR(AE145/S145,"n/a"))</f>
        <v>0</v>
      </c>
      <c r="AK145" s="17" t="s">
        <v>373</v>
      </c>
      <c r="AL145" s="17"/>
      <c r="AM145" s="17" t="s">
        <v>410</v>
      </c>
      <c r="AN145" s="17" t="n">
        <v>0</v>
      </c>
      <c r="AO145" s="17" t="n">
        <v>0</v>
      </c>
      <c r="AP145" s="21" t="s">
        <v>9</v>
      </c>
      <c r="AQ145" s="21" t="s">
        <v>9</v>
      </c>
      <c r="AR145" s="17" t="n">
        <v>0</v>
      </c>
      <c r="AS145" s="17" t="n">
        <v>2024</v>
      </c>
      <c r="AT145" s="17" t="n">
        <v>2022</v>
      </c>
      <c r="AU145" s="21" t="n">
        <v>2003</v>
      </c>
      <c r="AV145" s="17" t="n">
        <v>2025</v>
      </c>
      <c r="AW145" s="19" t="s">
        <v>745</v>
      </c>
      <c r="AX145" s="20"/>
      <c r="AY145" s="20"/>
      <c r="AZ145" s="20" t="n">
        <v>0</v>
      </c>
      <c r="BA145" s="19" t="s">
        <v>389</v>
      </c>
    </row>
    <row r="146" customFormat="false" ht="15" hidden="false" customHeight="true" outlineLevel="0" collapsed="false">
      <c r="A146" s="17" t="s">
        <v>746</v>
      </c>
      <c r="B146" s="17" t="s">
        <v>746</v>
      </c>
      <c r="C146" s="17" t="n">
        <v>616</v>
      </c>
      <c r="D146" s="17" t="n">
        <v>616</v>
      </c>
      <c r="E146" s="17" t="s">
        <v>371</v>
      </c>
      <c r="F146" s="17" t="n">
        <v>36</v>
      </c>
      <c r="G146" s="17" t="s">
        <v>372</v>
      </c>
      <c r="H146" s="17" t="n">
        <v>2013</v>
      </c>
      <c r="I146" s="17" t="n">
        <v>11015</v>
      </c>
      <c r="J146" s="18" t="n">
        <f aca="false">IFERROR(F146/I146*100,"n/a")</f>
        <v>0.326827054017249</v>
      </c>
      <c r="K146" s="17" t="n">
        <v>36</v>
      </c>
      <c r="L146" s="17" t="n">
        <v>2022</v>
      </c>
      <c r="M146" s="17" t="n">
        <v>12119</v>
      </c>
      <c r="N146" s="18" t="n">
        <f aca="false">IFERROR(K146/M146*100,"n/a")</f>
        <v>0.297054212393762</v>
      </c>
      <c r="O146" s="17" t="n">
        <v>35</v>
      </c>
      <c r="P146" s="17" t="n">
        <v>0</v>
      </c>
      <c r="Q146" s="21" t="s">
        <v>9</v>
      </c>
      <c r="R146" s="17" t="n">
        <v>3</v>
      </c>
      <c r="S146" s="17" t="n">
        <v>6</v>
      </c>
      <c r="T146" s="17" t="n">
        <v>1</v>
      </c>
      <c r="U146" s="17" t="n">
        <v>5</v>
      </c>
      <c r="V146" s="17" t="n">
        <v>4</v>
      </c>
      <c r="W146" s="17" t="n">
        <v>1961</v>
      </c>
      <c r="X146" s="17" t="n">
        <v>2016</v>
      </c>
      <c r="Y146" s="17" t="n">
        <v>8</v>
      </c>
      <c r="Z146" s="17" t="n">
        <v>1</v>
      </c>
      <c r="AA146" s="17" t="n">
        <v>1</v>
      </c>
      <c r="AB146" s="17" t="n">
        <v>0</v>
      </c>
      <c r="AC146" s="17" t="n">
        <v>5</v>
      </c>
      <c r="AD146" s="17" t="n">
        <v>0</v>
      </c>
      <c r="AE146" s="17" t="n">
        <v>1</v>
      </c>
      <c r="AF146" s="17" t="n">
        <v>5</v>
      </c>
      <c r="AG146" s="17" t="n">
        <v>6</v>
      </c>
      <c r="AH146" s="17" t="n">
        <v>0</v>
      </c>
      <c r="AI146" s="17" t="n">
        <v>0</v>
      </c>
      <c r="AJ146" s="18" t="n">
        <f aca="false">IF(S146=0,"n/a",IFERROR(AE146/S146,"n/a"))</f>
        <v>0.166666666666667</v>
      </c>
      <c r="AK146" s="17" t="s">
        <v>382</v>
      </c>
      <c r="AL146" s="17"/>
      <c r="AM146" s="17" t="s">
        <v>547</v>
      </c>
      <c r="AN146" s="17" t="n">
        <v>5</v>
      </c>
      <c r="AO146" s="17" t="n">
        <v>11</v>
      </c>
      <c r="AP146" s="17" t="n">
        <v>2014</v>
      </c>
      <c r="AQ146" s="17" t="n">
        <v>2024</v>
      </c>
      <c r="AR146" s="17" t="n">
        <v>1</v>
      </c>
      <c r="AS146" s="17" t="n">
        <v>2024</v>
      </c>
      <c r="AT146" s="17" t="n">
        <v>2022</v>
      </c>
      <c r="AU146" s="21" t="n">
        <v>2003</v>
      </c>
      <c r="AV146" s="17" t="n">
        <v>2025</v>
      </c>
      <c r="AW146" s="19" t="s">
        <v>747</v>
      </c>
      <c r="AX146" s="20"/>
      <c r="AY146" s="20" t="s">
        <v>385</v>
      </c>
      <c r="AZ146" s="20" t="n">
        <v>0</v>
      </c>
      <c r="BA146" s="19" t="s">
        <v>376</v>
      </c>
    </row>
    <row r="147" customFormat="false" ht="15" hidden="false" customHeight="true" outlineLevel="0" collapsed="false">
      <c r="A147" s="17" t="s">
        <v>748</v>
      </c>
      <c r="B147" s="17" t="s">
        <v>748</v>
      </c>
      <c r="C147" s="17" t="n">
        <v>640</v>
      </c>
      <c r="D147" s="17" t="n">
        <v>640</v>
      </c>
      <c r="E147" s="17" t="s">
        <v>371</v>
      </c>
      <c r="F147" s="17" t="n">
        <v>879</v>
      </c>
      <c r="G147" s="17" t="s">
        <v>372</v>
      </c>
      <c r="H147" s="17" t="n">
        <v>1987</v>
      </c>
      <c r="I147" s="17" t="n">
        <v>52561</v>
      </c>
      <c r="J147" s="18" t="n">
        <f aca="false">IFERROR(F147/I147*100,"n/a")</f>
        <v>1.67234261144194</v>
      </c>
      <c r="K147" s="17" t="n">
        <v>355</v>
      </c>
      <c r="L147" s="17" t="n">
        <v>2022</v>
      </c>
      <c r="M147" s="17" t="n">
        <v>87058</v>
      </c>
      <c r="N147" s="18" t="n">
        <f aca="false">IFERROR(K147/M147*100,"n/a")</f>
        <v>0.407774127593099</v>
      </c>
      <c r="O147" s="17" t="n">
        <v>495</v>
      </c>
      <c r="P147" s="17" t="n">
        <v>1717</v>
      </c>
      <c r="Q147" s="17" t="n">
        <v>1999</v>
      </c>
      <c r="R147" s="17" t="n">
        <v>4</v>
      </c>
      <c r="S147" s="17" t="n">
        <v>41</v>
      </c>
      <c r="T147" s="17" t="n">
        <v>10</v>
      </c>
      <c r="U147" s="17" t="n">
        <v>34</v>
      </c>
      <c r="V147" s="17" t="n">
        <v>30</v>
      </c>
      <c r="W147" s="17" t="n">
        <v>1974</v>
      </c>
      <c r="X147" s="17" t="n">
        <v>2024</v>
      </c>
      <c r="Y147" s="17" t="n">
        <v>0</v>
      </c>
      <c r="Z147" s="17" t="n">
        <v>1</v>
      </c>
      <c r="AA147" s="17" t="n">
        <v>1</v>
      </c>
      <c r="AB147" s="17" t="n">
        <v>0</v>
      </c>
      <c r="AC147" s="17" t="n">
        <v>40</v>
      </c>
      <c r="AD147" s="17" t="n">
        <v>0</v>
      </c>
      <c r="AE147" s="17" t="n">
        <v>0</v>
      </c>
      <c r="AF147" s="17" t="n">
        <v>40</v>
      </c>
      <c r="AG147" s="17" t="n">
        <v>40</v>
      </c>
      <c r="AH147" s="17" t="n">
        <v>0</v>
      </c>
      <c r="AI147" s="17" t="n">
        <v>1</v>
      </c>
      <c r="AJ147" s="18" t="n">
        <f aca="false">IF(S147=0,"n/a",IFERROR(AE147/S147,"n/a"))</f>
        <v>0</v>
      </c>
      <c r="AK147" s="17" t="s">
        <v>382</v>
      </c>
      <c r="AL147" s="17" t="n">
        <v>9</v>
      </c>
      <c r="AM147" s="17" t="s">
        <v>702</v>
      </c>
      <c r="AN147" s="17" t="n">
        <v>13</v>
      </c>
      <c r="AO147" s="17" t="n">
        <v>26</v>
      </c>
      <c r="AP147" s="17" t="n">
        <v>1950</v>
      </c>
      <c r="AQ147" s="17" t="n">
        <v>2024</v>
      </c>
      <c r="AR147" s="17" t="n">
        <v>20</v>
      </c>
      <c r="AS147" s="17" t="n">
        <v>2024</v>
      </c>
      <c r="AT147" s="17" t="n">
        <v>2022</v>
      </c>
      <c r="AU147" s="17" t="n">
        <v>2003</v>
      </c>
      <c r="AV147" s="17" t="n">
        <v>2025</v>
      </c>
      <c r="AW147" s="19" t="s">
        <v>749</v>
      </c>
      <c r="AX147" s="20"/>
      <c r="AY147" s="20"/>
      <c r="AZ147" s="20" t="n">
        <v>0</v>
      </c>
      <c r="BA147" s="19" t="s">
        <v>376</v>
      </c>
    </row>
    <row r="148" customFormat="false" ht="15" hidden="false" customHeight="true" outlineLevel="0" collapsed="false">
      <c r="A148" s="17" t="s">
        <v>750</v>
      </c>
      <c r="B148" s="17" t="s">
        <v>750</v>
      </c>
      <c r="C148" s="17" t="n">
        <v>701</v>
      </c>
      <c r="D148" s="17" t="n">
        <v>701</v>
      </c>
      <c r="E148" s="17" t="s">
        <v>394</v>
      </c>
      <c r="F148" s="17" t="n">
        <v>37</v>
      </c>
      <c r="G148" s="17" t="s">
        <v>395</v>
      </c>
      <c r="H148" s="17" t="n">
        <v>2016</v>
      </c>
      <c r="I148" s="17" t="n">
        <v>5663</v>
      </c>
      <c r="J148" s="18" t="n">
        <f aca="false">IFERROR(F148/I148*100,"n/a")</f>
        <v>0.65336394137383</v>
      </c>
      <c r="K148" s="17" t="n">
        <v>37</v>
      </c>
      <c r="L148" s="17" t="n">
        <v>2022</v>
      </c>
      <c r="M148" s="17" t="n">
        <v>7230</v>
      </c>
      <c r="N148" s="18" t="n">
        <f aca="false">IFERROR(K148/M148*100,"n/a")</f>
        <v>0.511756569847856</v>
      </c>
      <c r="O148" s="17" t="n">
        <v>35</v>
      </c>
      <c r="P148" s="17" t="n">
        <v>0</v>
      </c>
      <c r="Q148" s="21" t="s">
        <v>9</v>
      </c>
      <c r="R148" s="17" t="n">
        <v>0</v>
      </c>
      <c r="S148" s="17" t="n">
        <v>0</v>
      </c>
      <c r="T148" s="17" t="n">
        <v>0</v>
      </c>
      <c r="U148" s="17" t="n">
        <v>0</v>
      </c>
      <c r="V148" s="17" t="n">
        <v>0</v>
      </c>
      <c r="W148" s="21" t="s">
        <v>9</v>
      </c>
      <c r="X148" s="21" t="s">
        <v>9</v>
      </c>
      <c r="Y148" s="21" t="s">
        <v>9</v>
      </c>
      <c r="Z148" s="17" t="n">
        <v>0</v>
      </c>
      <c r="AA148" s="17" t="n">
        <v>0</v>
      </c>
      <c r="AB148" s="17" t="n">
        <v>0</v>
      </c>
      <c r="AC148" s="17" t="n">
        <v>0</v>
      </c>
      <c r="AD148" s="17" t="n">
        <v>0</v>
      </c>
      <c r="AE148" s="17" t="n">
        <v>0</v>
      </c>
      <c r="AF148" s="17" t="n">
        <v>0</v>
      </c>
      <c r="AG148" s="17" t="n">
        <v>0</v>
      </c>
      <c r="AH148" s="17" t="n">
        <v>0</v>
      </c>
      <c r="AI148" s="17" t="n">
        <v>0</v>
      </c>
      <c r="AJ148" s="18" t="str">
        <f aca="false">IF(S148=0,"n/a",IFERROR(AE148/S148,"n/a"))</f>
        <v>n/a</v>
      </c>
      <c r="AK148" s="17" t="s">
        <v>382</v>
      </c>
      <c r="AL148" s="17" t="n">
        <v>24</v>
      </c>
      <c r="AM148" s="17" t="s">
        <v>751</v>
      </c>
      <c r="AN148" s="17" t="n">
        <v>1</v>
      </c>
      <c r="AO148" s="17" t="n">
        <v>1</v>
      </c>
      <c r="AP148" s="17" t="n">
        <v>2024</v>
      </c>
      <c r="AQ148" s="17" t="n">
        <v>2024</v>
      </c>
      <c r="AR148" s="17" t="n">
        <v>0</v>
      </c>
      <c r="AS148" s="17" t="n">
        <v>2024</v>
      </c>
      <c r="AT148" s="17" t="n">
        <v>2022</v>
      </c>
      <c r="AU148" s="21" t="n">
        <v>2003</v>
      </c>
      <c r="AV148" s="17" t="n">
        <v>2025</v>
      </c>
      <c r="AW148" s="19" t="s">
        <v>752</v>
      </c>
      <c r="AX148" s="20"/>
      <c r="AY148" s="20"/>
      <c r="AZ148" s="20" t="n">
        <v>0</v>
      </c>
      <c r="BA148" s="19"/>
    </row>
    <row r="149" customFormat="false" ht="15" hidden="false" customHeight="true" outlineLevel="0" collapsed="false">
      <c r="A149" s="17" t="s">
        <v>753</v>
      </c>
      <c r="B149" s="17" t="s">
        <v>753</v>
      </c>
      <c r="C149" s="17" t="n">
        <v>500</v>
      </c>
      <c r="D149" s="17" t="n">
        <v>500</v>
      </c>
      <c r="E149" s="17" t="s">
        <v>371</v>
      </c>
      <c r="F149" s="17" t="n">
        <v>70</v>
      </c>
      <c r="G149" s="17" t="s">
        <v>372</v>
      </c>
      <c r="H149" s="17" t="n">
        <v>1992</v>
      </c>
      <c r="I149" s="17" t="n">
        <v>17796</v>
      </c>
      <c r="J149" s="18" t="n">
        <f aca="false">IFERROR(F149/I149*100,"n/a")</f>
        <v>0.393346819510002</v>
      </c>
      <c r="K149" s="17" t="n">
        <v>45</v>
      </c>
      <c r="L149" s="17" t="n">
        <v>2022</v>
      </c>
      <c r="M149" s="17" t="n">
        <v>47313</v>
      </c>
      <c r="N149" s="18" t="n">
        <f aca="false">IFERROR(K149/M149*100,"n/a")</f>
        <v>0.0951112801978315</v>
      </c>
      <c r="O149" s="17" t="n">
        <v>45</v>
      </c>
      <c r="P149" s="17" t="n">
        <v>1500</v>
      </c>
      <c r="Q149" s="17" t="n">
        <v>1979</v>
      </c>
      <c r="R149" s="17" t="n">
        <v>3</v>
      </c>
      <c r="S149" s="17" t="n">
        <v>42</v>
      </c>
      <c r="T149" s="17" t="n">
        <v>12</v>
      </c>
      <c r="U149" s="17" t="n">
        <v>30</v>
      </c>
      <c r="V149" s="17" t="n">
        <v>18</v>
      </c>
      <c r="W149" s="17" t="n">
        <v>1971</v>
      </c>
      <c r="X149" s="17" t="n">
        <v>2022</v>
      </c>
      <c r="Y149" s="17" t="n">
        <v>2</v>
      </c>
      <c r="Z149" s="17" t="n">
        <v>1</v>
      </c>
      <c r="AA149" s="17" t="n">
        <v>1</v>
      </c>
      <c r="AB149" s="17" t="n">
        <v>13</v>
      </c>
      <c r="AC149" s="17" t="n">
        <v>28</v>
      </c>
      <c r="AD149" s="17" t="n">
        <v>0</v>
      </c>
      <c r="AE149" s="17" t="n">
        <v>1</v>
      </c>
      <c r="AF149" s="17" t="n">
        <v>40</v>
      </c>
      <c r="AG149" s="17" t="n">
        <v>41</v>
      </c>
      <c r="AH149" s="17" t="n">
        <v>0</v>
      </c>
      <c r="AI149" s="17" t="n">
        <v>0</v>
      </c>
      <c r="AJ149" s="18" t="n">
        <f aca="false">IF(S149=0,"n/a",IFERROR(AE149/S149,"n/a"))</f>
        <v>0.0238095238095238</v>
      </c>
      <c r="AK149" s="17" t="s">
        <v>373</v>
      </c>
      <c r="AL149" s="17"/>
      <c r="AM149" s="17" t="s">
        <v>754</v>
      </c>
      <c r="AN149" s="17" t="n">
        <v>4</v>
      </c>
      <c r="AO149" s="17" t="n">
        <v>18</v>
      </c>
      <c r="AP149" s="17" t="n">
        <v>1977</v>
      </c>
      <c r="AQ149" s="17" t="n">
        <v>2024</v>
      </c>
      <c r="AR149" s="17" t="n">
        <v>16</v>
      </c>
      <c r="AS149" s="17" t="n">
        <v>2024</v>
      </c>
      <c r="AT149" s="17" t="n">
        <v>2022</v>
      </c>
      <c r="AU149" s="17" t="n">
        <v>2003</v>
      </c>
      <c r="AV149" s="17" t="n">
        <v>2025</v>
      </c>
      <c r="AW149" s="19" t="s">
        <v>755</v>
      </c>
      <c r="AX149" s="20"/>
      <c r="AY149" s="20"/>
      <c r="AZ149" s="20" t="n">
        <v>1</v>
      </c>
      <c r="BA149" s="19" t="s">
        <v>436</v>
      </c>
    </row>
    <row r="150" customFormat="false" ht="15" hidden="false" customHeight="true" outlineLevel="0" collapsed="false">
      <c r="A150" s="17" t="s">
        <v>756</v>
      </c>
      <c r="B150" s="17" t="s">
        <v>756</v>
      </c>
      <c r="C150" s="17" t="n">
        <v>369</v>
      </c>
      <c r="D150" s="17" t="n">
        <v>369</v>
      </c>
      <c r="E150" s="17" t="s">
        <v>371</v>
      </c>
      <c r="F150" s="17" t="n">
        <v>688</v>
      </c>
      <c r="G150" s="17" t="s">
        <v>372</v>
      </c>
      <c r="H150" s="17" t="n">
        <v>2022</v>
      </c>
      <c r="I150" s="17" t="n">
        <v>41049</v>
      </c>
      <c r="J150" s="18" t="n">
        <f aca="false">IFERROR(F150/I150*100,"n/a")</f>
        <v>1.67604570147872</v>
      </c>
      <c r="K150" s="17" t="n">
        <v>688</v>
      </c>
      <c r="L150" s="17" t="n">
        <v>2022</v>
      </c>
      <c r="M150" s="17" t="n">
        <v>41049</v>
      </c>
      <c r="N150" s="18" t="n">
        <f aca="false">IFERROR(K150/M150*100,"n/a")</f>
        <v>1.67604570147872</v>
      </c>
      <c r="O150" s="17" t="n">
        <v>1000</v>
      </c>
      <c r="P150" s="21" t="s">
        <v>9</v>
      </c>
      <c r="Q150" s="21" t="s">
        <v>9</v>
      </c>
      <c r="R150" s="17" t="n">
        <v>5</v>
      </c>
      <c r="S150" s="17" t="n">
        <v>11</v>
      </c>
      <c r="T150" s="17" t="n">
        <v>5</v>
      </c>
      <c r="U150" s="17" t="n">
        <v>8</v>
      </c>
      <c r="V150" s="17" t="n">
        <v>11</v>
      </c>
      <c r="W150" s="17" t="n">
        <v>2014</v>
      </c>
      <c r="X150" s="17" t="n">
        <v>2024</v>
      </c>
      <c r="Y150" s="17" t="n">
        <v>0</v>
      </c>
      <c r="Z150" s="17" t="n">
        <v>3</v>
      </c>
      <c r="AA150" s="22" t="n">
        <v>11</v>
      </c>
      <c r="AB150" s="17" t="n">
        <v>9</v>
      </c>
      <c r="AC150" s="17" t="n">
        <v>1</v>
      </c>
      <c r="AD150" s="17" t="n">
        <v>0</v>
      </c>
      <c r="AE150" s="17" t="n">
        <v>11</v>
      </c>
      <c r="AF150" s="17" t="n">
        <v>1</v>
      </c>
      <c r="AG150" s="17" t="n">
        <v>11</v>
      </c>
      <c r="AH150" s="17" t="n">
        <v>0</v>
      </c>
      <c r="AI150" s="17" t="n">
        <v>0</v>
      </c>
      <c r="AJ150" s="18" t="n">
        <f aca="false">IF(S150=0,"n/a",IFERROR(AE150/S150,"n/a"))</f>
        <v>1</v>
      </c>
      <c r="AK150" s="17" t="s">
        <v>382</v>
      </c>
      <c r="AL150" s="21" t="s">
        <v>9</v>
      </c>
      <c r="AM150" s="17" t="s">
        <v>757</v>
      </c>
      <c r="AN150" s="17" t="n">
        <v>6</v>
      </c>
      <c r="AO150" s="17" t="n">
        <v>13</v>
      </c>
      <c r="AP150" s="17" t="n">
        <v>2004</v>
      </c>
      <c r="AQ150" s="17" t="n">
        <v>2022</v>
      </c>
      <c r="AR150" s="17" t="n">
        <v>9</v>
      </c>
      <c r="AS150" s="17" t="n">
        <v>2024</v>
      </c>
      <c r="AT150" s="17" t="n">
        <v>2022</v>
      </c>
      <c r="AU150" s="21" t="n">
        <v>2003</v>
      </c>
      <c r="AV150" s="17" t="n">
        <v>2025</v>
      </c>
      <c r="AW150" s="19" t="s">
        <v>758</v>
      </c>
      <c r="AX150" s="20"/>
      <c r="AY150" s="20" t="s">
        <v>385</v>
      </c>
      <c r="AZ150" s="20" t="n">
        <v>0</v>
      </c>
      <c r="BA150" s="19" t="s">
        <v>759</v>
      </c>
    </row>
    <row r="151" customFormat="false" ht="15" hidden="false" customHeight="true" outlineLevel="0" collapsed="false">
      <c r="A151" s="17" t="s">
        <v>760</v>
      </c>
      <c r="B151" s="17" t="s">
        <v>760</v>
      </c>
      <c r="C151" s="17" t="n">
        <v>696</v>
      </c>
      <c r="D151" s="17" t="n">
        <v>696</v>
      </c>
      <c r="E151" s="17" t="s">
        <v>394</v>
      </c>
      <c r="F151" s="17" t="n">
        <v>83</v>
      </c>
      <c r="G151" s="17" t="s">
        <v>395</v>
      </c>
      <c r="H151" s="17" t="n">
        <v>2022</v>
      </c>
      <c r="I151" s="17" t="n">
        <v>10242</v>
      </c>
      <c r="J151" s="18" t="n">
        <f aca="false">IFERROR(F151/I151*100,"n/a")</f>
        <v>0.810388595977348</v>
      </c>
      <c r="K151" s="17" t="n">
        <v>83</v>
      </c>
      <c r="L151" s="17" t="n">
        <v>2022</v>
      </c>
      <c r="M151" s="17" t="n">
        <v>10242</v>
      </c>
      <c r="N151" s="18" t="n">
        <f aca="false">IFERROR(K151/M151*100,"n/a")</f>
        <v>0.810388595977348</v>
      </c>
      <c r="O151" s="17" t="n">
        <v>65</v>
      </c>
      <c r="P151" s="17" t="n">
        <v>6</v>
      </c>
      <c r="Q151" s="17" t="n">
        <v>1991</v>
      </c>
      <c r="R151" s="17" t="n">
        <v>0</v>
      </c>
      <c r="S151" s="17" t="n">
        <v>0</v>
      </c>
      <c r="T151" s="17" t="n">
        <v>0</v>
      </c>
      <c r="U151" s="17" t="n">
        <v>0</v>
      </c>
      <c r="V151" s="17" t="n">
        <v>0</v>
      </c>
      <c r="W151" s="21" t="s">
        <v>9</v>
      </c>
      <c r="X151" s="21" t="s">
        <v>9</v>
      </c>
      <c r="Y151" s="21" t="s">
        <v>9</v>
      </c>
      <c r="Z151" s="17" t="n">
        <v>0</v>
      </c>
      <c r="AA151" s="17" t="n">
        <v>0</v>
      </c>
      <c r="AB151" s="17" t="n">
        <v>0</v>
      </c>
      <c r="AC151" s="17" t="n">
        <v>0</v>
      </c>
      <c r="AD151" s="17" t="n">
        <v>0</v>
      </c>
      <c r="AE151" s="17" t="n">
        <v>0</v>
      </c>
      <c r="AF151" s="17" t="n">
        <v>0</v>
      </c>
      <c r="AG151" s="17" t="n">
        <v>0</v>
      </c>
      <c r="AH151" s="17" t="n">
        <v>0</v>
      </c>
      <c r="AI151" s="17" t="n">
        <v>0</v>
      </c>
      <c r="AJ151" s="18" t="str">
        <f aca="false">IF(S151=0,"n/a",IFERROR(AE151/S151,"n/a"))</f>
        <v>n/a</v>
      </c>
      <c r="AK151" s="17" t="s">
        <v>382</v>
      </c>
      <c r="AL151" s="17"/>
      <c r="AM151" s="17"/>
      <c r="AN151" s="17" t="n">
        <v>5</v>
      </c>
      <c r="AO151" s="17" t="n">
        <v>17</v>
      </c>
      <c r="AP151" s="17" t="n">
        <v>1991</v>
      </c>
      <c r="AQ151" s="17" t="n">
        <v>2024</v>
      </c>
      <c r="AR151" s="17" t="n">
        <v>15</v>
      </c>
      <c r="AS151" s="17" t="n">
        <v>2024</v>
      </c>
      <c r="AT151" s="17" t="n">
        <v>2022</v>
      </c>
      <c r="AU151" s="17" t="n">
        <v>2003</v>
      </c>
      <c r="AV151" s="17" t="n">
        <v>2025</v>
      </c>
      <c r="AW151" s="19" t="s">
        <v>761</v>
      </c>
      <c r="AX151" s="20"/>
      <c r="AY151" s="20" t="s">
        <v>385</v>
      </c>
      <c r="AZ151" s="20" t="n">
        <v>0</v>
      </c>
      <c r="BA151" s="19"/>
    </row>
    <row r="152" customFormat="false" ht="15" hidden="false" customHeight="true" outlineLevel="0" collapsed="false">
      <c r="A152" s="17" t="s">
        <v>762</v>
      </c>
      <c r="B152" s="17" t="s">
        <v>762</v>
      </c>
      <c r="C152" s="17" t="n">
        <v>200</v>
      </c>
      <c r="D152" s="17" t="n">
        <v>200</v>
      </c>
      <c r="E152" s="17" t="s">
        <v>371</v>
      </c>
      <c r="F152" s="17" t="n">
        <v>2053</v>
      </c>
      <c r="G152" s="17" t="s">
        <v>372</v>
      </c>
      <c r="H152" s="17" t="n">
        <v>1946</v>
      </c>
      <c r="I152" s="17" t="n">
        <v>49217</v>
      </c>
      <c r="J152" s="18" t="n">
        <f aca="false">IFERROR(F152/I152*100,"n/a")</f>
        <v>4.17132291687832</v>
      </c>
      <c r="K152" s="17" t="n">
        <v>150</v>
      </c>
      <c r="L152" s="17" t="n">
        <v>2022</v>
      </c>
      <c r="M152" s="17" t="n">
        <v>68179</v>
      </c>
      <c r="N152" s="18" t="n">
        <f aca="false">IFERROR(K152/M152*100,"n/a")</f>
        <v>0.220009093709207</v>
      </c>
      <c r="O152" s="17"/>
      <c r="P152" s="17" t="n">
        <v>1044</v>
      </c>
      <c r="Q152" s="17" t="n">
        <v>2003</v>
      </c>
      <c r="R152" s="17" t="n">
        <v>14</v>
      </c>
      <c r="S152" s="17" t="n">
        <v>43</v>
      </c>
      <c r="T152" s="17" t="n">
        <v>9</v>
      </c>
      <c r="U152" s="17" t="n">
        <v>39</v>
      </c>
      <c r="V152" s="17" t="n">
        <v>21</v>
      </c>
      <c r="W152" s="17" t="n">
        <v>1946</v>
      </c>
      <c r="X152" s="17" t="n">
        <v>2024</v>
      </c>
      <c r="Y152" s="17" t="n">
        <v>0</v>
      </c>
      <c r="Z152" s="17" t="n">
        <v>8</v>
      </c>
      <c r="AA152" s="17" t="n">
        <v>8</v>
      </c>
      <c r="AB152" s="17" t="n">
        <v>0</v>
      </c>
      <c r="AC152" s="17" t="n">
        <v>22</v>
      </c>
      <c r="AD152" s="17" t="n">
        <v>18</v>
      </c>
      <c r="AE152" s="17" t="n">
        <v>0</v>
      </c>
      <c r="AF152" s="17" t="n">
        <v>22</v>
      </c>
      <c r="AG152" s="17" t="n">
        <v>22</v>
      </c>
      <c r="AH152" s="17" t="n">
        <v>0</v>
      </c>
      <c r="AI152" s="17" t="n">
        <v>22</v>
      </c>
      <c r="AJ152" s="18" t="n">
        <f aca="false">IF(S152=0,"n/a",IFERROR(AE152/S152,"n/a"))</f>
        <v>0</v>
      </c>
      <c r="AK152" s="17" t="s">
        <v>373</v>
      </c>
      <c r="AL152" s="17"/>
      <c r="AM152" s="17" t="s">
        <v>763</v>
      </c>
      <c r="AN152" s="17" t="n">
        <v>15</v>
      </c>
      <c r="AO152" s="17" t="n">
        <v>46</v>
      </c>
      <c r="AP152" s="17" t="n">
        <v>1950</v>
      </c>
      <c r="AQ152" s="17" t="n">
        <v>2024</v>
      </c>
      <c r="AR152" s="17" t="n">
        <v>22</v>
      </c>
      <c r="AS152" s="17" t="n">
        <v>2024</v>
      </c>
      <c r="AT152" s="17" t="n">
        <v>2022</v>
      </c>
      <c r="AU152" s="17" t="n">
        <v>2003</v>
      </c>
      <c r="AV152" s="17" t="n">
        <v>2025</v>
      </c>
      <c r="AW152" s="19" t="s">
        <v>764</v>
      </c>
      <c r="AX152" s="20"/>
      <c r="AY152" s="20"/>
      <c r="AZ152" s="20" t="n">
        <v>0</v>
      </c>
      <c r="BA152" s="19" t="s">
        <v>509</v>
      </c>
    </row>
    <row r="153" customFormat="false" ht="15" hidden="false" customHeight="true" outlineLevel="0" collapsed="false">
      <c r="A153" s="17" t="s">
        <v>765</v>
      </c>
      <c r="B153" s="17" t="s">
        <v>766</v>
      </c>
      <c r="C153" s="17" t="n">
        <v>2</v>
      </c>
      <c r="D153" s="17" t="n">
        <v>2</v>
      </c>
      <c r="E153" s="17" t="s">
        <v>371</v>
      </c>
      <c r="F153" s="17" t="n">
        <v>2240</v>
      </c>
      <c r="G153" s="17" t="s">
        <v>372</v>
      </c>
      <c r="H153" s="17" t="n">
        <v>1989</v>
      </c>
      <c r="I153" s="17" t="n">
        <v>247342</v>
      </c>
      <c r="J153" s="18" t="n">
        <f aca="false">IFERROR(F153/I153*100,"n/a")</f>
        <v>0.905628643740246</v>
      </c>
      <c r="K153" s="17" t="n">
        <v>1360</v>
      </c>
      <c r="L153" s="17" t="n">
        <v>2022</v>
      </c>
      <c r="M153" s="17" t="n">
        <v>344775</v>
      </c>
      <c r="N153" s="18" t="n">
        <f aca="false">IFERROR(K153/M153*100,"n/a")</f>
        <v>0.394460155173664</v>
      </c>
      <c r="O153" s="17" t="n">
        <v>1280</v>
      </c>
      <c r="P153" s="17" t="n">
        <v>113660</v>
      </c>
      <c r="Q153" s="17" t="n">
        <v>2003</v>
      </c>
      <c r="R153" s="17" t="n">
        <v>7</v>
      </c>
      <c r="S153" s="17" t="n">
        <v>22</v>
      </c>
      <c r="T153" s="17" t="n">
        <v>2</v>
      </c>
      <c r="U153" s="17" t="n">
        <v>21</v>
      </c>
      <c r="V153" s="17" t="n">
        <v>17</v>
      </c>
      <c r="W153" s="17" t="n">
        <v>1950</v>
      </c>
      <c r="X153" s="17" t="n">
        <v>2024</v>
      </c>
      <c r="Y153" s="17" t="n">
        <v>0</v>
      </c>
      <c r="Z153" s="17" t="n">
        <v>5</v>
      </c>
      <c r="AA153" s="17" t="n">
        <v>5</v>
      </c>
      <c r="AB153" s="17" t="n">
        <v>18</v>
      </c>
      <c r="AC153" s="17" t="n">
        <v>0</v>
      </c>
      <c r="AD153" s="17" t="n">
        <v>1</v>
      </c>
      <c r="AE153" s="17" t="n">
        <v>0</v>
      </c>
      <c r="AF153" s="17" t="n">
        <v>0</v>
      </c>
      <c r="AG153" s="17" t="n">
        <v>0</v>
      </c>
      <c r="AH153" s="17" t="n">
        <v>0</v>
      </c>
      <c r="AI153" s="17" t="n">
        <v>22</v>
      </c>
      <c r="AJ153" s="18" t="n">
        <f aca="false">IF(S153=0,"n/a",IFERROR(AE153/S153,"n/a"))</f>
        <v>0</v>
      </c>
      <c r="AK153" s="17" t="s">
        <v>373</v>
      </c>
      <c r="AL153" s="17"/>
      <c r="AM153" s="17" t="s">
        <v>482</v>
      </c>
      <c r="AN153" s="17" t="n">
        <v>26</v>
      </c>
      <c r="AO153" s="17" t="n">
        <v>45</v>
      </c>
      <c r="AP153" s="17" t="n">
        <v>1950</v>
      </c>
      <c r="AQ153" s="17" t="n">
        <v>2024</v>
      </c>
      <c r="AR153" s="17" t="n">
        <v>42</v>
      </c>
      <c r="AS153" s="17" t="n">
        <v>2024</v>
      </c>
      <c r="AT153" s="17" t="n">
        <v>2022</v>
      </c>
      <c r="AU153" s="17" t="n">
        <v>2003</v>
      </c>
      <c r="AV153" s="17" t="n">
        <v>2025</v>
      </c>
      <c r="AW153" s="19" t="s">
        <v>767</v>
      </c>
      <c r="AX153" s="20"/>
      <c r="AY153" s="20"/>
      <c r="AZ153" s="20" t="n">
        <v>0</v>
      </c>
      <c r="BA153" s="19" t="s">
        <v>768</v>
      </c>
    </row>
    <row r="154" customFormat="false" ht="15" hidden="false" customHeight="true" outlineLevel="0" collapsed="false">
      <c r="A154" s="17" t="s">
        <v>769</v>
      </c>
      <c r="B154" s="17" t="s">
        <v>769</v>
      </c>
      <c r="C154" s="17" t="n">
        <v>165</v>
      </c>
      <c r="D154" s="17" t="n">
        <v>165</v>
      </c>
      <c r="E154" s="17" t="s">
        <v>371</v>
      </c>
      <c r="F154" s="17" t="n">
        <v>20</v>
      </c>
      <c r="G154" s="17" t="s">
        <v>372</v>
      </c>
      <c r="H154" s="17" t="n">
        <v>1972</v>
      </c>
      <c r="I154" s="17" t="n">
        <v>2820</v>
      </c>
      <c r="J154" s="18" t="n">
        <f aca="false">IFERROR(F154/I154*100,"n/a")</f>
        <v>0.709219858156028</v>
      </c>
      <c r="K154" s="17" t="n">
        <v>21</v>
      </c>
      <c r="L154" s="17" t="n">
        <v>2022</v>
      </c>
      <c r="M154" s="17" t="n">
        <v>3391</v>
      </c>
      <c r="N154" s="18" t="n">
        <f aca="false">IFERROR(K154/M154*100,"n/a")</f>
        <v>0.619286346210557</v>
      </c>
      <c r="O154" s="17" t="n">
        <v>23</v>
      </c>
      <c r="P154" s="17" t="n">
        <v>0</v>
      </c>
      <c r="Q154" s="21" t="s">
        <v>9</v>
      </c>
      <c r="R154" s="17" t="n">
        <v>1</v>
      </c>
      <c r="S154" s="17" t="n">
        <v>1</v>
      </c>
      <c r="T154" s="17" t="n">
        <v>0</v>
      </c>
      <c r="U154" s="17" t="n">
        <v>1</v>
      </c>
      <c r="V154" s="17" t="n">
        <v>1</v>
      </c>
      <c r="W154" s="17" t="n">
        <v>1972</v>
      </c>
      <c r="X154" s="17" t="n">
        <v>1972</v>
      </c>
      <c r="Y154" s="17" t="n">
        <v>52</v>
      </c>
      <c r="Z154" s="17" t="n">
        <v>0</v>
      </c>
      <c r="AA154" s="17" t="n">
        <v>0</v>
      </c>
      <c r="AB154" s="17" t="n">
        <v>0</v>
      </c>
      <c r="AC154" s="17" t="n">
        <v>1</v>
      </c>
      <c r="AD154" s="17" t="n">
        <v>0</v>
      </c>
      <c r="AE154" s="17" t="n">
        <v>0</v>
      </c>
      <c r="AF154" s="17" t="n">
        <v>1</v>
      </c>
      <c r="AG154" s="17" t="n">
        <v>1</v>
      </c>
      <c r="AH154" s="17" t="n">
        <v>0</v>
      </c>
      <c r="AI154" s="17" t="n">
        <v>0</v>
      </c>
      <c r="AJ154" s="18" t="n">
        <f aca="false">IF(S154=0,"n/a",IFERROR(AE154/S154,"n/a"))</f>
        <v>0</v>
      </c>
      <c r="AK154" s="17" t="s">
        <v>373</v>
      </c>
      <c r="AL154" s="17" t="n">
        <v>24</v>
      </c>
      <c r="AM154" s="17" t="s">
        <v>529</v>
      </c>
      <c r="AN154" s="17" t="n">
        <v>0</v>
      </c>
      <c r="AO154" s="17" t="n">
        <v>0</v>
      </c>
      <c r="AP154" s="21" t="s">
        <v>9</v>
      </c>
      <c r="AQ154" s="21" t="s">
        <v>9</v>
      </c>
      <c r="AR154" s="17" t="n">
        <v>0</v>
      </c>
      <c r="AS154" s="17" t="n">
        <v>2024</v>
      </c>
      <c r="AT154" s="17" t="n">
        <v>2022</v>
      </c>
      <c r="AU154" s="21" t="n">
        <v>2003</v>
      </c>
      <c r="AV154" s="17" t="n">
        <v>2025</v>
      </c>
      <c r="AW154" s="19" t="s">
        <v>770</v>
      </c>
      <c r="AX154" s="20"/>
      <c r="AY154" s="20" t="s">
        <v>472</v>
      </c>
      <c r="AZ154" s="20" t="n">
        <v>0</v>
      </c>
      <c r="BA154" s="19" t="s">
        <v>389</v>
      </c>
    </row>
    <row r="155" customFormat="false" ht="15" hidden="false" customHeight="true" outlineLevel="0" collapsed="false">
      <c r="A155" s="17" t="s">
        <v>771</v>
      </c>
      <c r="B155" s="17" t="s">
        <v>771</v>
      </c>
      <c r="C155" s="17" t="n">
        <v>704</v>
      </c>
      <c r="D155" s="17" t="n">
        <v>704</v>
      </c>
      <c r="E155" s="17" t="s">
        <v>371</v>
      </c>
      <c r="F155" s="17" t="n">
        <v>59</v>
      </c>
      <c r="G155" s="17" t="s">
        <v>372</v>
      </c>
      <c r="H155" s="17" t="n">
        <v>2000</v>
      </c>
      <c r="I155" s="17" t="n">
        <v>24318</v>
      </c>
      <c r="J155" s="18" t="n">
        <f aca="false">IFERROR(F155/I155*100,"n/a")</f>
        <v>0.24261863640102</v>
      </c>
      <c r="K155" s="17" t="n">
        <v>48</v>
      </c>
      <c r="L155" s="17" t="n">
        <v>2022</v>
      </c>
      <c r="M155" s="17" t="n">
        <v>34939</v>
      </c>
      <c r="N155" s="18" t="n">
        <f aca="false">IFERROR(K155/M155*100,"n/a")</f>
        <v>0.13738229485675</v>
      </c>
      <c r="O155" s="17" t="n">
        <v>50</v>
      </c>
      <c r="P155" s="17" t="n">
        <v>0</v>
      </c>
      <c r="Q155" s="21" t="s">
        <v>9</v>
      </c>
      <c r="R155" s="17" t="n">
        <v>1</v>
      </c>
      <c r="S155" s="17" t="n">
        <v>3</v>
      </c>
      <c r="T155" s="17" t="n">
        <v>0</v>
      </c>
      <c r="U155" s="17" t="n">
        <v>3</v>
      </c>
      <c r="V155" s="17" t="n">
        <v>2</v>
      </c>
      <c r="W155" s="17" t="n">
        <v>1999</v>
      </c>
      <c r="X155" s="17" t="n">
        <v>2004</v>
      </c>
      <c r="Y155" s="17" t="n">
        <v>20</v>
      </c>
      <c r="Z155" s="17" t="n">
        <v>0</v>
      </c>
      <c r="AA155" s="17" t="n">
        <v>0</v>
      </c>
      <c r="AB155" s="17" t="n">
        <v>1</v>
      </c>
      <c r="AC155" s="17" t="n">
        <v>2</v>
      </c>
      <c r="AD155" s="17" t="n">
        <v>0</v>
      </c>
      <c r="AE155" s="17" t="n">
        <v>0</v>
      </c>
      <c r="AF155" s="17" t="n">
        <v>3</v>
      </c>
      <c r="AG155" s="17" t="n">
        <v>3</v>
      </c>
      <c r="AH155" s="17" t="n">
        <v>0</v>
      </c>
      <c r="AI155" s="17" t="n">
        <v>0</v>
      </c>
      <c r="AJ155" s="18" t="n">
        <f aca="false">IF(S155=0,"n/a",IFERROR(AE155/S155,"n/a"))</f>
        <v>0</v>
      </c>
      <c r="AK155" s="17" t="s">
        <v>382</v>
      </c>
      <c r="AL155" s="17" t="n">
        <v>12</v>
      </c>
      <c r="AM155" s="17" t="s">
        <v>772</v>
      </c>
      <c r="AN155" s="17" t="n">
        <v>1</v>
      </c>
      <c r="AO155" s="17" t="n">
        <v>3</v>
      </c>
      <c r="AP155" s="17" t="n">
        <v>1992</v>
      </c>
      <c r="AQ155" s="17" t="n">
        <v>1994</v>
      </c>
      <c r="AR155" s="17" t="n">
        <v>2</v>
      </c>
      <c r="AS155" s="17" t="n">
        <v>2024</v>
      </c>
      <c r="AT155" s="17" t="n">
        <v>2022</v>
      </c>
      <c r="AU155" s="21" t="n">
        <v>2003</v>
      </c>
      <c r="AV155" s="17" t="n">
        <v>2025</v>
      </c>
      <c r="AW155" s="19" t="s">
        <v>773</v>
      </c>
      <c r="AX155" s="20"/>
      <c r="AY155" s="20"/>
      <c r="AZ155" s="20" t="n">
        <v>0</v>
      </c>
      <c r="BA155" s="19" t="s">
        <v>389</v>
      </c>
    </row>
    <row r="156" customFormat="false" ht="15" hidden="false" customHeight="true" outlineLevel="0" collapsed="false">
      <c r="A156" s="17" t="s">
        <v>774</v>
      </c>
      <c r="B156" s="17" t="s">
        <v>774</v>
      </c>
      <c r="C156" s="17" t="n">
        <v>101</v>
      </c>
      <c r="D156" s="17" t="n">
        <v>101</v>
      </c>
      <c r="E156" s="17" t="s">
        <v>371</v>
      </c>
      <c r="F156" s="17" t="n">
        <v>75</v>
      </c>
      <c r="G156" s="17" t="s">
        <v>372</v>
      </c>
      <c r="H156" s="17" t="n">
        <v>1992</v>
      </c>
      <c r="I156" s="17" t="n">
        <v>20249</v>
      </c>
      <c r="J156" s="18" t="n">
        <f aca="false">IFERROR(F156/I156*100,"n/a")</f>
        <v>0.370388661168453</v>
      </c>
      <c r="K156" s="17" t="n">
        <v>123</v>
      </c>
      <c r="L156" s="17" t="n">
        <v>2022</v>
      </c>
      <c r="M156" s="17" t="n">
        <v>28213</v>
      </c>
      <c r="N156" s="18" t="n">
        <f aca="false">IFERROR(K156/M156*100,"n/a")</f>
        <v>0.435969234041045</v>
      </c>
      <c r="O156" s="17" t="n">
        <v>150</v>
      </c>
      <c r="P156" s="17" t="n">
        <v>0</v>
      </c>
      <c r="Q156" s="21" t="s">
        <v>9</v>
      </c>
      <c r="R156" s="17" t="n">
        <v>1</v>
      </c>
      <c r="S156" s="17" t="n">
        <v>3</v>
      </c>
      <c r="T156" s="17" t="n">
        <v>0</v>
      </c>
      <c r="U156" s="17" t="n">
        <v>3</v>
      </c>
      <c r="V156" s="17" t="n">
        <v>1</v>
      </c>
      <c r="W156" s="17" t="n">
        <v>1962</v>
      </c>
      <c r="X156" s="17" t="n">
        <v>1992</v>
      </c>
      <c r="Y156" s="17" t="n">
        <v>32</v>
      </c>
      <c r="Z156" s="17" t="n">
        <v>0</v>
      </c>
      <c r="AA156" s="17" t="n">
        <v>0</v>
      </c>
      <c r="AB156" s="17" t="n">
        <v>0</v>
      </c>
      <c r="AC156" s="17" t="n">
        <v>3</v>
      </c>
      <c r="AD156" s="17" t="n">
        <v>0</v>
      </c>
      <c r="AE156" s="17" t="n">
        <v>0</v>
      </c>
      <c r="AF156" s="17" t="n">
        <v>3</v>
      </c>
      <c r="AG156" s="17" t="n">
        <v>3</v>
      </c>
      <c r="AH156" s="17" t="n">
        <v>0</v>
      </c>
      <c r="AI156" s="17" t="n">
        <v>0</v>
      </c>
      <c r="AJ156" s="18" t="n">
        <f aca="false">IF(S156=0,"n/a",IFERROR(AE156/S156,"n/a"))</f>
        <v>0</v>
      </c>
      <c r="AK156" s="17" t="s">
        <v>373</v>
      </c>
      <c r="AL156" s="17" t="n">
        <v>27</v>
      </c>
      <c r="AM156" s="17" t="s">
        <v>391</v>
      </c>
      <c r="AN156" s="17" t="n">
        <v>0</v>
      </c>
      <c r="AO156" s="17" t="n">
        <v>0</v>
      </c>
      <c r="AP156" s="21" t="s">
        <v>9</v>
      </c>
      <c r="AQ156" s="21" t="s">
        <v>9</v>
      </c>
      <c r="AR156" s="17" t="n">
        <v>0</v>
      </c>
      <c r="AS156" s="17" t="n">
        <v>2024</v>
      </c>
      <c r="AT156" s="17" t="n">
        <v>2022</v>
      </c>
      <c r="AU156" s="21" t="n">
        <v>2003</v>
      </c>
      <c r="AV156" s="17" t="n">
        <v>2025</v>
      </c>
      <c r="AW156" s="19" t="s">
        <v>775</v>
      </c>
      <c r="AX156" s="20"/>
      <c r="AY156" s="20" t="s">
        <v>472</v>
      </c>
      <c r="AZ156" s="20" t="n">
        <v>0</v>
      </c>
      <c r="BA156" s="19" t="s">
        <v>389</v>
      </c>
    </row>
    <row r="157" customFormat="false" ht="15" hidden="false" customHeight="true" outlineLevel="0" collapsed="false">
      <c r="A157" s="17" t="s">
        <v>776</v>
      </c>
      <c r="B157" s="17" t="s">
        <v>777</v>
      </c>
      <c r="C157" s="17" t="n">
        <v>816</v>
      </c>
      <c r="D157" s="17" t="n">
        <v>816</v>
      </c>
      <c r="E157" s="17" t="s">
        <v>371</v>
      </c>
      <c r="F157" s="17" t="n">
        <v>1260</v>
      </c>
      <c r="G157" s="17" t="s">
        <v>372</v>
      </c>
      <c r="H157" s="17" t="n">
        <v>1986</v>
      </c>
      <c r="I157" s="17" t="n">
        <v>61109</v>
      </c>
      <c r="J157" s="18" t="n">
        <f aca="false">IFERROR(F157/I157*100,"n/a")</f>
        <v>2.0618894107251</v>
      </c>
      <c r="K157" s="17" t="n">
        <v>482</v>
      </c>
      <c r="L157" s="17" t="n">
        <v>2022</v>
      </c>
      <c r="M157" s="17" t="n">
        <v>99681</v>
      </c>
      <c r="N157" s="18" t="n">
        <f aca="false">IFERROR(K157/M157*100,"n/a")</f>
        <v>0.48354250057684</v>
      </c>
      <c r="O157" s="17" t="n">
        <v>450</v>
      </c>
      <c r="P157" s="17" t="n">
        <v>715850</v>
      </c>
      <c r="Q157" s="17" t="n">
        <v>1987</v>
      </c>
      <c r="R157" s="17" t="n">
        <v>3</v>
      </c>
      <c r="S157" s="17" t="n">
        <v>22</v>
      </c>
      <c r="T157" s="17" t="n">
        <v>12</v>
      </c>
      <c r="U157" s="17" t="n">
        <v>12</v>
      </c>
      <c r="V157" s="17" t="n">
        <v>17</v>
      </c>
      <c r="W157" s="17" t="n">
        <v>1965</v>
      </c>
      <c r="X157" s="17" t="n">
        <v>1988</v>
      </c>
      <c r="Y157" s="17" t="n">
        <v>36</v>
      </c>
      <c r="Z157" s="17" t="n">
        <v>22</v>
      </c>
      <c r="AA157" s="17" t="n">
        <v>22</v>
      </c>
      <c r="AB157" s="17" t="n">
        <v>0</v>
      </c>
      <c r="AC157" s="17" t="n">
        <v>0</v>
      </c>
      <c r="AD157" s="17" t="n">
        <v>0</v>
      </c>
      <c r="AE157" s="17" t="n">
        <v>22</v>
      </c>
      <c r="AF157" s="17" t="n">
        <v>0</v>
      </c>
      <c r="AG157" s="17" t="n">
        <v>22</v>
      </c>
      <c r="AH157" s="17" t="n">
        <v>0</v>
      </c>
      <c r="AI157" s="17" t="n">
        <v>0</v>
      </c>
      <c r="AJ157" s="18" t="n">
        <f aca="false">IF(S157=0,"n/a",IFERROR(AE157/S157,"n/a"))</f>
        <v>1</v>
      </c>
      <c r="AK157" s="17" t="s">
        <v>382</v>
      </c>
      <c r="AL157" s="17" t="n">
        <v>30</v>
      </c>
      <c r="AM157" s="17" t="s">
        <v>778</v>
      </c>
      <c r="AN157" s="17" t="n">
        <v>4</v>
      </c>
      <c r="AO157" s="17" t="n">
        <v>27</v>
      </c>
      <c r="AP157" s="17" t="n">
        <v>1963</v>
      </c>
      <c r="AQ157" s="17" t="n">
        <v>2022</v>
      </c>
      <c r="AR157" s="17" t="n">
        <v>14</v>
      </c>
      <c r="AS157" s="17" t="n">
        <v>2024</v>
      </c>
      <c r="AT157" s="17" t="n">
        <v>2022</v>
      </c>
      <c r="AU157" s="17" t="n">
        <v>2003</v>
      </c>
      <c r="AV157" s="17" t="n">
        <v>2025</v>
      </c>
      <c r="AW157" s="19" t="s">
        <v>779</v>
      </c>
      <c r="AX157" s="20" t="s">
        <v>780</v>
      </c>
      <c r="AY157" s="20" t="s">
        <v>480</v>
      </c>
      <c r="AZ157" s="20" t="n">
        <v>0</v>
      </c>
      <c r="BA157" s="19" t="s">
        <v>380</v>
      </c>
    </row>
    <row r="158" customFormat="false" ht="15" hidden="false" customHeight="true" outlineLevel="0" collapsed="false">
      <c r="A158" s="17" t="s">
        <v>781</v>
      </c>
      <c r="B158" s="17" t="s">
        <v>781</v>
      </c>
      <c r="C158" s="17" t="n">
        <v>678</v>
      </c>
      <c r="D158" s="17" t="n">
        <v>678</v>
      </c>
      <c r="E158" s="17" t="s">
        <v>371</v>
      </c>
      <c r="F158" s="17" t="n">
        <v>36</v>
      </c>
      <c r="G158" s="17" t="s">
        <v>372</v>
      </c>
      <c r="H158" s="17" t="n">
        <v>1979</v>
      </c>
      <c r="I158" s="17" t="n">
        <v>6127</v>
      </c>
      <c r="J158" s="18" t="n">
        <f aca="false">IFERROR(F158/I158*100,"n/a")</f>
        <v>0.587563244654807</v>
      </c>
      <c r="K158" s="17" t="n">
        <v>127</v>
      </c>
      <c r="L158" s="17" t="n">
        <v>1990</v>
      </c>
      <c r="M158" s="17" t="n">
        <v>9196</v>
      </c>
      <c r="N158" s="18" t="n">
        <f aca="false">IFERROR(K158/M158*100,"n/a")</f>
        <v>1.38103523270987</v>
      </c>
      <c r="O158" s="17"/>
      <c r="P158" s="17" t="n">
        <v>0</v>
      </c>
      <c r="Q158" s="21" t="s">
        <v>9</v>
      </c>
      <c r="R158" s="17" t="n">
        <v>5</v>
      </c>
      <c r="S158" s="17" t="n">
        <v>32</v>
      </c>
      <c r="T158" s="17" t="n">
        <v>18</v>
      </c>
      <c r="U158" s="17" t="n">
        <v>17</v>
      </c>
      <c r="V158" s="17" t="n">
        <v>16</v>
      </c>
      <c r="W158" s="17" t="n">
        <v>1948</v>
      </c>
      <c r="X158" s="17" t="n">
        <v>2024</v>
      </c>
      <c r="Y158" s="17" t="n">
        <v>0</v>
      </c>
      <c r="Z158" s="17" t="n">
        <v>3</v>
      </c>
      <c r="AA158" s="17" t="n">
        <v>3</v>
      </c>
      <c r="AB158" s="17" t="n">
        <v>25</v>
      </c>
      <c r="AC158" s="17" t="n">
        <v>9</v>
      </c>
      <c r="AD158" s="17" t="n">
        <v>0</v>
      </c>
      <c r="AE158" s="17" t="n">
        <v>3</v>
      </c>
      <c r="AF158" s="17" t="n">
        <v>31</v>
      </c>
      <c r="AG158" s="17" t="n">
        <v>32</v>
      </c>
      <c r="AH158" s="17" t="n">
        <v>0</v>
      </c>
      <c r="AI158" s="17" t="n">
        <v>0</v>
      </c>
      <c r="AJ158" s="18" t="n">
        <f aca="false">IF(S158=0,"n/a",IFERROR(AE158/S158,"n/a"))</f>
        <v>0.09375</v>
      </c>
      <c r="AK158" s="17" t="s">
        <v>373</v>
      </c>
      <c r="AL158" s="17"/>
      <c r="AM158" s="17"/>
      <c r="AN158" s="17" t="n">
        <v>6</v>
      </c>
      <c r="AO158" s="17" t="n">
        <v>6</v>
      </c>
      <c r="AP158" s="17" t="n">
        <v>2013</v>
      </c>
      <c r="AQ158" s="17" t="n">
        <v>2024</v>
      </c>
      <c r="AR158" s="17" t="n">
        <v>2</v>
      </c>
      <c r="AS158" s="17" t="n">
        <v>2024</v>
      </c>
      <c r="AT158" s="17" t="n">
        <v>1990</v>
      </c>
      <c r="AU158" s="21" t="n">
        <v>2003</v>
      </c>
      <c r="AV158" s="17"/>
      <c r="AW158" s="19" t="s">
        <v>782</v>
      </c>
      <c r="AX158" s="20" t="s">
        <v>783</v>
      </c>
      <c r="AY158" s="20" t="s">
        <v>480</v>
      </c>
      <c r="AZ158" s="20" t="n">
        <v>0</v>
      </c>
      <c r="BA158" s="19" t="s">
        <v>376</v>
      </c>
    </row>
    <row r="159" customFormat="false" ht="15" hidden="false" customHeight="true" outlineLevel="0" collapsed="false">
      <c r="A159" s="17" t="s">
        <v>784</v>
      </c>
      <c r="B159" s="17" t="s">
        <v>784</v>
      </c>
      <c r="C159" s="17" t="n">
        <v>345</v>
      </c>
      <c r="D159" s="17" t="n">
        <v>345</v>
      </c>
      <c r="E159" s="17" t="s">
        <v>371</v>
      </c>
      <c r="F159" s="17" t="n">
        <v>169</v>
      </c>
      <c r="G159" s="17" t="s">
        <v>372</v>
      </c>
      <c r="H159" s="17" t="n">
        <v>1991</v>
      </c>
      <c r="I159" s="17" t="n">
        <v>23931</v>
      </c>
      <c r="J159" s="18" t="n">
        <f aca="false">IFERROR(F159/I159*100,"n/a")</f>
        <v>0.706196982992771</v>
      </c>
      <c r="K159" s="17" t="n">
        <v>28</v>
      </c>
      <c r="L159" s="17" t="n">
        <v>2022</v>
      </c>
      <c r="M159" s="17" t="n">
        <v>6791</v>
      </c>
      <c r="N159" s="18" t="n">
        <f aca="false">IFERROR(K159/M159*100,"n/a")</f>
        <v>0.412310410837874</v>
      </c>
      <c r="O159" s="17"/>
      <c r="P159" s="17" t="n">
        <v>6890</v>
      </c>
      <c r="Q159" s="17" t="n">
        <v>1999</v>
      </c>
      <c r="R159" s="17" t="n">
        <v>3</v>
      </c>
      <c r="S159" s="17" t="n">
        <v>4</v>
      </c>
      <c r="T159" s="17" t="n">
        <v>3</v>
      </c>
      <c r="U159" s="17" t="n">
        <v>2</v>
      </c>
      <c r="V159" s="17" t="n">
        <v>2</v>
      </c>
      <c r="W159" s="17" t="n">
        <v>1991</v>
      </c>
      <c r="X159" s="17" t="n">
        <v>1999</v>
      </c>
      <c r="Y159" s="17" t="n">
        <v>25</v>
      </c>
      <c r="Z159" s="17" t="n">
        <v>0</v>
      </c>
      <c r="AA159" s="17" t="n">
        <v>0</v>
      </c>
      <c r="AB159" s="17" t="n">
        <v>1</v>
      </c>
      <c r="AC159" s="17" t="n">
        <v>3</v>
      </c>
      <c r="AD159" s="17" t="n">
        <v>0</v>
      </c>
      <c r="AE159" s="17" t="n">
        <v>0</v>
      </c>
      <c r="AF159" s="17" t="n">
        <v>4</v>
      </c>
      <c r="AG159" s="17" t="n">
        <v>4</v>
      </c>
      <c r="AH159" s="17" t="n">
        <v>0</v>
      </c>
      <c r="AI159" s="17" t="n">
        <v>0</v>
      </c>
      <c r="AJ159" s="18" t="n">
        <f aca="false">IF(S159=0,"n/a",IFERROR(AE159/S159,"n/a"))</f>
        <v>0</v>
      </c>
      <c r="AK159" s="17"/>
      <c r="AL159" s="17"/>
      <c r="AM159" s="17"/>
      <c r="AN159" s="17" t="n">
        <v>4</v>
      </c>
      <c r="AO159" s="17" t="n">
        <v>12</v>
      </c>
      <c r="AP159" s="17" t="n">
        <v>1992</v>
      </c>
      <c r="AQ159" s="17" t="n">
        <v>2024</v>
      </c>
      <c r="AR159" s="17" t="n">
        <v>2</v>
      </c>
      <c r="AS159" s="17" t="n">
        <v>2024</v>
      </c>
      <c r="AT159" s="17" t="n">
        <v>2022</v>
      </c>
      <c r="AU159" s="17" t="n">
        <v>2003</v>
      </c>
      <c r="AV159" s="17"/>
      <c r="AW159" s="19"/>
      <c r="AX159" s="20" t="s">
        <v>785</v>
      </c>
      <c r="AY159" s="20" t="s">
        <v>480</v>
      </c>
      <c r="AZ159" s="20" t="n">
        <v>0</v>
      </c>
      <c r="BA159" s="19" t="s">
        <v>389</v>
      </c>
    </row>
    <row r="160" customFormat="false" ht="15" hidden="false" customHeight="true" outlineLevel="0" collapsed="false">
      <c r="A160" s="17" t="s">
        <v>786</v>
      </c>
      <c r="B160" s="17" t="s">
        <v>786</v>
      </c>
      <c r="C160" s="17" t="n">
        <v>551</v>
      </c>
      <c r="D160" s="17" t="n">
        <v>551</v>
      </c>
      <c r="E160" s="17" t="s">
        <v>394</v>
      </c>
      <c r="F160" s="17" t="n">
        <v>22</v>
      </c>
      <c r="G160" s="17" t="s">
        <v>395</v>
      </c>
      <c r="H160" s="17" t="n">
        <v>2000</v>
      </c>
      <c r="I160" s="17" t="n">
        <v>9169</v>
      </c>
      <c r="J160" s="18" t="n">
        <f aca="false">IFERROR(F160/I160*100,"n/a")</f>
        <v>0.239938924637365</v>
      </c>
      <c r="K160" s="17" t="n">
        <v>15</v>
      </c>
      <c r="L160" s="17" t="n">
        <v>2022</v>
      </c>
      <c r="M160" s="17" t="n">
        <v>20153</v>
      </c>
      <c r="N160" s="18" t="n">
        <f aca="false">IFERROR(K160/M160*100,"n/a")</f>
        <v>0.0744306058651317</v>
      </c>
      <c r="O160" s="17" t="n">
        <v>16</v>
      </c>
      <c r="P160" s="17" t="n">
        <v>0</v>
      </c>
      <c r="Q160" s="21" t="s">
        <v>9</v>
      </c>
      <c r="R160" s="17" t="n">
        <v>0</v>
      </c>
      <c r="S160" s="17" t="n">
        <v>0</v>
      </c>
      <c r="T160" s="17" t="n">
        <v>0</v>
      </c>
      <c r="U160" s="17" t="n">
        <v>0</v>
      </c>
      <c r="V160" s="17" t="n">
        <v>0</v>
      </c>
      <c r="W160" s="21" t="s">
        <v>9</v>
      </c>
      <c r="X160" s="21" t="s">
        <v>9</v>
      </c>
      <c r="Y160" s="21" t="s">
        <v>9</v>
      </c>
      <c r="Z160" s="17" t="n">
        <v>0</v>
      </c>
      <c r="AA160" s="17" t="n">
        <v>0</v>
      </c>
      <c r="AB160" s="17" t="n">
        <v>0</v>
      </c>
      <c r="AC160" s="17" t="n">
        <v>0</v>
      </c>
      <c r="AD160" s="17" t="n">
        <v>0</v>
      </c>
      <c r="AE160" s="17" t="n">
        <v>0</v>
      </c>
      <c r="AF160" s="17" t="n">
        <v>0</v>
      </c>
      <c r="AG160" s="17" t="n">
        <v>0</v>
      </c>
      <c r="AH160" s="17" t="n">
        <v>0</v>
      </c>
      <c r="AI160" s="17" t="n">
        <v>0</v>
      </c>
      <c r="AJ160" s="18" t="str">
        <f aca="false">IF(S160=0,"n/a",IFERROR(AE160/S160,"n/a"))</f>
        <v>n/a</v>
      </c>
      <c r="AK160" s="17" t="s">
        <v>373</v>
      </c>
      <c r="AL160" s="17"/>
      <c r="AM160" s="17" t="s">
        <v>679</v>
      </c>
      <c r="AN160" s="17" t="n">
        <v>6</v>
      </c>
      <c r="AO160" s="17" t="n">
        <v>10</v>
      </c>
      <c r="AP160" s="17" t="n">
        <v>2014</v>
      </c>
      <c r="AQ160" s="17" t="n">
        <v>2024</v>
      </c>
      <c r="AR160" s="17" t="n">
        <v>7</v>
      </c>
      <c r="AS160" s="17" t="n">
        <v>2024</v>
      </c>
      <c r="AT160" s="17" t="n">
        <v>2022</v>
      </c>
      <c r="AU160" s="21" t="n">
        <v>2003</v>
      </c>
      <c r="AV160" s="17" t="n">
        <v>2025</v>
      </c>
      <c r="AW160" s="19" t="s">
        <v>787</v>
      </c>
      <c r="AX160" s="20"/>
      <c r="AY160" s="20"/>
      <c r="AZ160" s="20" t="n">
        <v>0</v>
      </c>
      <c r="BA160" s="19"/>
    </row>
    <row r="161" customFormat="false" ht="15" hidden="false" customHeight="true" outlineLevel="0" collapsed="false">
      <c r="A161" s="17" t="s">
        <v>788</v>
      </c>
      <c r="B161" s="17" t="s">
        <v>788</v>
      </c>
      <c r="C161" s="17" t="n">
        <v>552</v>
      </c>
      <c r="D161" s="17" t="n">
        <v>552</v>
      </c>
      <c r="E161" s="17" t="s">
        <v>371</v>
      </c>
      <c r="F161" s="17" t="n">
        <v>38</v>
      </c>
      <c r="G161" s="17" t="s">
        <v>372</v>
      </c>
      <c r="H161" s="17" t="n">
        <v>1979</v>
      </c>
      <c r="I161" s="17" t="n">
        <v>6930</v>
      </c>
      <c r="J161" s="18" t="n">
        <f aca="false">IFERROR(F161/I161*100,"n/a")</f>
        <v>0.548340548340548</v>
      </c>
      <c r="K161" s="17" t="n">
        <v>29</v>
      </c>
      <c r="L161" s="17" t="n">
        <v>2022</v>
      </c>
      <c r="M161" s="17" t="n">
        <v>16069</v>
      </c>
      <c r="N161" s="18" t="n">
        <f aca="false">IFERROR(K161/M161*100,"n/a")</f>
        <v>0.180471715725932</v>
      </c>
      <c r="O161" s="17" t="n">
        <v>30</v>
      </c>
      <c r="P161" s="17" t="n">
        <v>0</v>
      </c>
      <c r="Q161" s="21" t="s">
        <v>9</v>
      </c>
      <c r="R161" s="17" t="n">
        <v>1</v>
      </c>
      <c r="S161" s="17" t="n">
        <v>9</v>
      </c>
      <c r="T161" s="17" t="n">
        <v>4</v>
      </c>
      <c r="U161" s="17" t="n">
        <v>5</v>
      </c>
      <c r="V161" s="17" t="n">
        <v>7</v>
      </c>
      <c r="W161" s="17" t="n">
        <v>1967</v>
      </c>
      <c r="X161" s="17" t="n">
        <v>1979</v>
      </c>
      <c r="Y161" s="17" t="n">
        <v>45</v>
      </c>
      <c r="Z161" s="17" t="n">
        <v>0</v>
      </c>
      <c r="AA161" s="17" t="n">
        <v>0</v>
      </c>
      <c r="AB161" s="17" t="n">
        <v>1</v>
      </c>
      <c r="AC161" s="17" t="n">
        <v>8</v>
      </c>
      <c r="AD161" s="17" t="n">
        <v>0</v>
      </c>
      <c r="AE161" s="17" t="n">
        <v>0</v>
      </c>
      <c r="AF161" s="17" t="n">
        <v>9</v>
      </c>
      <c r="AG161" s="17" t="n">
        <v>9</v>
      </c>
      <c r="AH161" s="17" t="n">
        <v>0</v>
      </c>
      <c r="AI161" s="17" t="n">
        <v>0</v>
      </c>
      <c r="AJ161" s="18" t="n">
        <f aca="false">IF(S161=0,"n/a",IFERROR(AE161/S161,"n/a"))</f>
        <v>0</v>
      </c>
      <c r="AK161" s="17" t="s">
        <v>373</v>
      </c>
      <c r="AL161" s="17"/>
      <c r="AM161" s="17" t="s">
        <v>521</v>
      </c>
      <c r="AN161" s="17" t="n">
        <v>4</v>
      </c>
      <c r="AO161" s="17" t="n">
        <v>12</v>
      </c>
      <c r="AP161" s="17" t="n">
        <v>1985</v>
      </c>
      <c r="AQ161" s="17" t="n">
        <v>2022</v>
      </c>
      <c r="AR161" s="17" t="n">
        <v>10</v>
      </c>
      <c r="AS161" s="17" t="n">
        <v>2024</v>
      </c>
      <c r="AT161" s="17" t="n">
        <v>2022</v>
      </c>
      <c r="AU161" s="21" t="n">
        <v>2003</v>
      </c>
      <c r="AV161" s="17" t="n">
        <v>2025</v>
      </c>
      <c r="AW161" s="19" t="s">
        <v>789</v>
      </c>
      <c r="AX161" s="20"/>
      <c r="AY161" s="20"/>
      <c r="AZ161" s="20" t="n">
        <v>0</v>
      </c>
      <c r="BA161" s="19" t="s">
        <v>389</v>
      </c>
    </row>
  </sheetData>
  <autoFilter ref="A1:BA1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69140625" defaultRowHeight="15" zeroHeight="false" outlineLevelRow="0" outlineLevelCol="0"/>
  <cols>
    <col collapsed="false" customWidth="true" hidden="false" outlineLevel="0" max="1" min="1" style="1" width="44"/>
    <col collapsed="false" customWidth="true" hidden="false" outlineLevel="0" max="3" min="2" style="1" width="20"/>
    <col collapsed="false" customWidth="true" hidden="false" outlineLevel="0" max="5" min="4" style="1" width="22"/>
  </cols>
  <sheetData>
    <row r="1" customFormat="false" ht="29.25" hidden="false" customHeight="true" outlineLevel="0" collapsed="false">
      <c r="A1" s="23" t="s">
        <v>790</v>
      </c>
    </row>
    <row r="2" customFormat="false" ht="84.75" hidden="false" customHeight="true" outlineLevel="0" collapsed="false">
      <c r="A2" s="2" t="s">
        <v>791</v>
      </c>
    </row>
    <row r="4" customFormat="false" ht="24.75" hidden="false" customHeight="true" outlineLevel="0" collapsed="false">
      <c r="A4" s="12" t="s">
        <v>792</v>
      </c>
      <c r="B4" s="12" t="s">
        <v>793</v>
      </c>
      <c r="C4" s="12" t="s">
        <v>794</v>
      </c>
      <c r="D4" s="12" t="s">
        <v>795</v>
      </c>
      <c r="E4" s="12" t="s">
        <v>796</v>
      </c>
    </row>
    <row r="5" customFormat="false" ht="15" hidden="false" customHeight="true" outlineLevel="0" collapsed="false">
      <c r="A5" s="17" t="s">
        <v>797</v>
      </c>
      <c r="B5" s="17" t="s">
        <v>371</v>
      </c>
      <c r="C5" s="17" t="s">
        <v>371</v>
      </c>
      <c r="D5" s="17" t="s">
        <v>798</v>
      </c>
      <c r="E5" s="17" t="s">
        <v>371</v>
      </c>
    </row>
    <row r="6" customFormat="false" ht="15" hidden="false" customHeight="true" outlineLevel="0" collapsed="false">
      <c r="A6" s="17" t="s">
        <v>799</v>
      </c>
      <c r="B6" s="17" t="n">
        <v>5</v>
      </c>
      <c r="C6" s="17" t="n">
        <v>5</v>
      </c>
      <c r="D6" s="17" t="n">
        <v>15</v>
      </c>
      <c r="E6" s="17" t="n">
        <v>18</v>
      </c>
    </row>
    <row r="7" customFormat="false" ht="15" hidden="false" customHeight="true" outlineLevel="0" collapsed="false">
      <c r="A7" s="17" t="s">
        <v>800</v>
      </c>
      <c r="B7" s="17" t="n">
        <v>11</v>
      </c>
      <c r="C7" s="17" t="n">
        <v>11</v>
      </c>
      <c r="D7" s="17" t="n">
        <v>39</v>
      </c>
      <c r="E7" s="17" t="n">
        <v>40</v>
      </c>
    </row>
    <row r="8" customFormat="false" ht="15" hidden="false" customHeight="true" outlineLevel="0" collapsed="false">
      <c r="A8" s="17" t="s">
        <v>801</v>
      </c>
      <c r="B8" s="17" t="n">
        <v>3</v>
      </c>
      <c r="C8" s="17" t="n">
        <v>11</v>
      </c>
      <c r="D8" s="17" t="n">
        <v>6</v>
      </c>
      <c r="E8" s="17" t="n">
        <v>14</v>
      </c>
    </row>
    <row r="9" customFormat="false" ht="15" hidden="false" customHeight="true" outlineLevel="0" collapsed="false">
      <c r="A9" s="17" t="s">
        <v>802</v>
      </c>
      <c r="B9" s="17" t="n">
        <v>9</v>
      </c>
      <c r="C9" s="17" t="n">
        <v>0</v>
      </c>
      <c r="D9" s="17" t="n">
        <v>0</v>
      </c>
      <c r="E9" s="17" t="n">
        <v>0</v>
      </c>
    </row>
    <row r="10" customFormat="false" ht="15" hidden="false" customHeight="true" outlineLevel="0" collapsed="false">
      <c r="A10" s="17" t="s">
        <v>803</v>
      </c>
      <c r="B10" s="17" t="n">
        <v>1</v>
      </c>
      <c r="C10" s="17" t="n">
        <v>1</v>
      </c>
      <c r="D10" s="17" t="n">
        <v>35</v>
      </c>
      <c r="E10" s="17" t="n">
        <v>35</v>
      </c>
    </row>
    <row r="11" customFormat="false" ht="15" hidden="false" customHeight="true" outlineLevel="0" collapsed="false">
      <c r="A11" s="17" t="s">
        <v>804</v>
      </c>
      <c r="B11" s="17" t="n">
        <v>11</v>
      </c>
      <c r="C11" s="17" t="n">
        <v>11</v>
      </c>
      <c r="D11" s="17" t="n">
        <v>1</v>
      </c>
      <c r="E11" s="17" t="n">
        <v>1</v>
      </c>
    </row>
    <row r="12" customFormat="false" ht="15" hidden="false" customHeight="true" outlineLevel="0" collapsed="false">
      <c r="A12" s="17" t="s">
        <v>805</v>
      </c>
      <c r="B12" s="17" t="n">
        <v>0</v>
      </c>
      <c r="C12" s="17" t="n">
        <v>0</v>
      </c>
      <c r="D12" s="17" t="n">
        <v>5</v>
      </c>
      <c r="E12" s="17" t="n">
        <v>13</v>
      </c>
    </row>
    <row r="13" customFormat="false" ht="15" hidden="false" customHeight="true" outlineLevel="0" collapsed="false">
      <c r="A13" s="17" t="s">
        <v>806</v>
      </c>
      <c r="B13" s="17" t="n">
        <v>6</v>
      </c>
      <c r="C13" s="17" t="n">
        <v>6</v>
      </c>
      <c r="D13" s="17" t="n">
        <v>15</v>
      </c>
      <c r="E13" s="17" t="n">
        <v>12</v>
      </c>
    </row>
    <row r="14" customFormat="false" ht="15" hidden="false" customHeight="true" outlineLevel="0" collapsed="false"/>
    <row r="15" customFormat="false" ht="72.75" hidden="false" customHeight="true" outlineLevel="0" collapsed="false">
      <c r="A15" s="2" t="s">
        <v>807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2026-08-10T11:54:30Z</dcterms:created>
  <dc:creator>openpyxl</dc:creator>
  <dc:description/>
  <dc:language>en-US</dc:language>
  <cp:lastModifiedBy/>
  <dcterms:modified xsi:type="dcterms:W3CDTF">2026-09-01T21:34:31Z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